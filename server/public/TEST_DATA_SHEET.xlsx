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New folder\e drive\TCIL\TRAINING\TRAINEE\"/>
    </mc:Choice>
  </mc:AlternateContent>
  <xr:revisionPtr revIDLastSave="0" documentId="8_{BA9CEDFB-E2BD-44B8-BC54-AD67A2909D21}" xr6:coauthVersionLast="47" xr6:coauthVersionMax="47" xr10:uidLastSave="{00000000-0000-0000-0000-000000000000}"/>
  <bookViews>
    <workbookView xWindow="-110" yWindow="-110" windowWidth="19420" windowHeight="10420" activeTab="1" xr2:uid="{08F13ADC-65AC-4318-B2C1-717FAF2ABFB6}"/>
  </bookViews>
  <sheets>
    <sheet name="Sheet2" sheetId="5" r:id="rId1"/>
    <sheet name="Sheet1" sheetId="6" r:id="rId2"/>
    <sheet name="SAP" sheetId="2" state="hidden" r:id="rId3"/>
    <sheet name="TMS" sheetId="3" state="hidden" r:id="rId4"/>
    <sheet name="Sheet4" sheetId="4" state="hidden" r:id="rId5"/>
  </sheets>
  <externalReferences>
    <externalReference r:id="rId6"/>
    <externalReference r:id="rId7"/>
    <externalReference r:id="rId8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9" i="5" l="1"/>
  <c r="A38" i="5"/>
  <c r="J37" i="5"/>
  <c r="A37" i="5"/>
  <c r="H36" i="5"/>
  <c r="F36" i="5"/>
  <c r="E36" i="5"/>
  <c r="D36" i="5"/>
  <c r="H26" i="5"/>
  <c r="I26" i="5" s="1"/>
  <c r="G26" i="5"/>
  <c r="L26" i="5" s="1"/>
  <c r="Q26" i="5" s="1"/>
  <c r="U26" i="5" s="1"/>
  <c r="Y26" i="5" s="1"/>
  <c r="C27" i="5" s="1"/>
  <c r="G27" i="5" s="1"/>
  <c r="L27" i="5" s="1"/>
  <c r="Q27" i="5" s="1"/>
  <c r="U27" i="5" s="1"/>
  <c r="Y27" i="5" s="1"/>
  <c r="C28" i="5" s="1"/>
  <c r="G28" i="5" s="1"/>
  <c r="L28" i="5" s="1"/>
  <c r="Q28" i="5" s="1"/>
  <c r="U28" i="5" s="1"/>
  <c r="Y28" i="5" s="1"/>
  <c r="C29" i="5" s="1"/>
  <c r="G29" i="5" s="1"/>
  <c r="L29" i="5" s="1"/>
  <c r="Q29" i="5" s="1"/>
  <c r="U29" i="5" s="1"/>
  <c r="Y29" i="5" s="1"/>
  <c r="C30" i="5" s="1"/>
  <c r="G30" i="5" s="1"/>
  <c r="L30" i="5" s="1"/>
  <c r="Q30" i="5" s="1"/>
  <c r="U30" i="5" s="1"/>
  <c r="Y30" i="5" s="1"/>
  <c r="C31" i="5" s="1"/>
  <c r="G31" i="5" s="1"/>
  <c r="L31" i="5" s="1"/>
  <c r="Q31" i="5" s="1"/>
  <c r="U31" i="5" s="1"/>
  <c r="Y31" i="5" s="1"/>
  <c r="C32" i="5" s="1"/>
  <c r="G32" i="5" s="1"/>
  <c r="L32" i="5" s="1"/>
  <c r="Q32" i="5" s="1"/>
  <c r="U32" i="5" s="1"/>
  <c r="Y32" i="5" s="1"/>
  <c r="C33" i="5" s="1"/>
  <c r="G33" i="5" s="1"/>
  <c r="L33" i="5" s="1"/>
  <c r="Q33" i="5" s="1"/>
  <c r="E26" i="5"/>
  <c r="M25" i="5"/>
  <c r="R25" i="5" s="1"/>
  <c r="S25" i="5" s="1"/>
  <c r="H25" i="5"/>
  <c r="I25" i="5" s="1"/>
  <c r="G25" i="5"/>
  <c r="L25" i="5" s="1"/>
  <c r="Q25" i="5" s="1"/>
  <c r="E25" i="5"/>
  <c r="AA24" i="5"/>
  <c r="W24" i="5"/>
  <c r="S24" i="5"/>
  <c r="O24" i="5"/>
  <c r="I24" i="5"/>
  <c r="E24" i="5"/>
  <c r="AA23" i="5"/>
  <c r="W23" i="5"/>
  <c r="S23" i="5"/>
  <c r="O23" i="5"/>
  <c r="I23" i="5"/>
  <c r="E23" i="5"/>
  <c r="AA22" i="5"/>
  <c r="W22" i="5"/>
  <c r="S22" i="5"/>
  <c r="O22" i="5"/>
  <c r="I22" i="5"/>
  <c r="E22" i="5"/>
  <c r="S21" i="5"/>
  <c r="O21" i="5"/>
  <c r="I21" i="5"/>
  <c r="E21" i="5"/>
  <c r="S20" i="5"/>
  <c r="O20" i="5"/>
  <c r="I20" i="5"/>
  <c r="S9" i="5"/>
  <c r="R9" i="5"/>
  <c r="P9" i="5"/>
  <c r="O9" i="5"/>
  <c r="J9" i="5"/>
  <c r="I1" i="3"/>
  <c r="M26" i="5" l="1"/>
  <c r="O25" i="5"/>
  <c r="H2" i="3"/>
  <c r="G2" i="3"/>
  <c r="G1" i="3"/>
  <c r="R26" i="5" l="1"/>
  <c r="O26" i="5"/>
  <c r="V26" i="5" l="1"/>
  <c r="S26" i="5"/>
  <c r="Z26" i="5" l="1"/>
  <c r="W26" i="5"/>
  <c r="AA26" i="5" l="1"/>
  <c r="D27" i="5"/>
  <c r="H27" i="5" l="1"/>
  <c r="E27" i="5"/>
  <c r="M27" i="5" l="1"/>
  <c r="I27" i="5"/>
  <c r="R27" i="5" l="1"/>
  <c r="O27" i="5"/>
  <c r="S27" i="5" l="1"/>
  <c r="V27" i="5"/>
  <c r="Z27" i="5" l="1"/>
  <c r="W27" i="5"/>
  <c r="D28" i="5" l="1"/>
  <c r="AA27" i="5"/>
  <c r="E28" i="5" l="1"/>
  <c r="H28" i="5"/>
  <c r="I28" i="5" l="1"/>
  <c r="M28" i="5"/>
  <c r="R28" i="5" l="1"/>
  <c r="O28" i="5"/>
  <c r="V28" i="5" l="1"/>
  <c r="S28" i="5"/>
  <c r="W28" i="5" l="1"/>
  <c r="Z28" i="5"/>
  <c r="AA28" i="5" l="1"/>
  <c r="D29" i="5"/>
  <c r="H29" i="5" l="1"/>
  <c r="E29" i="5"/>
  <c r="M29" i="5" l="1"/>
  <c r="I29" i="5"/>
  <c r="R29" i="5" l="1"/>
  <c r="O29" i="5"/>
  <c r="S29" i="5" l="1"/>
  <c r="V29" i="5"/>
  <c r="Z29" i="5" l="1"/>
  <c r="W29" i="5"/>
  <c r="D30" i="5" l="1"/>
  <c r="AA29" i="5"/>
  <c r="E30" i="5" l="1"/>
  <c r="H30" i="5"/>
  <c r="M30" i="5" l="1"/>
  <c r="I30" i="5"/>
  <c r="R30" i="5" l="1"/>
  <c r="O30" i="5"/>
  <c r="V30" i="5" l="1"/>
  <c r="S30" i="5"/>
  <c r="W30" i="5" l="1"/>
  <c r="Z30" i="5"/>
  <c r="AA30" i="5" l="1"/>
  <c r="D31" i="5"/>
  <c r="H31" i="5" l="1"/>
  <c r="E31" i="5"/>
  <c r="M31" i="5" l="1"/>
  <c r="I31" i="5"/>
  <c r="R31" i="5" l="1"/>
  <c r="O31" i="5"/>
  <c r="S31" i="5" l="1"/>
  <c r="V31" i="5"/>
  <c r="Z31" i="5" l="1"/>
  <c r="W31" i="5"/>
  <c r="D32" i="5" l="1"/>
  <c r="AA31" i="5"/>
  <c r="H32" i="5" l="1"/>
  <c r="E32" i="5"/>
  <c r="I32" i="5" l="1"/>
  <c r="M32" i="5"/>
  <c r="R32" i="5" l="1"/>
  <c r="O32" i="5"/>
  <c r="V32" i="5" l="1"/>
  <c r="S32" i="5"/>
  <c r="Z32" i="5" l="1"/>
  <c r="W32" i="5"/>
  <c r="AA32" i="5" l="1"/>
  <c r="D33" i="5"/>
  <c r="H33" i="5" l="1"/>
  <c r="E33" i="5"/>
  <c r="M33" i="5" l="1"/>
  <c r="I33" i="5"/>
  <c r="R33" i="5" l="1"/>
  <c r="S33" i="5" s="1"/>
  <c r="O33" i="5"/>
</calcChain>
</file>

<file path=xl/sharedStrings.xml><?xml version="1.0" encoding="utf-8"?>
<sst xmlns="http://schemas.openxmlformats.org/spreadsheetml/2006/main" count="287" uniqueCount="201">
  <si>
    <t xml:space="preserve">SCM : 
</t>
  </si>
  <si>
    <t xml:space="preserve"> Rcpt MT</t>
  </si>
  <si>
    <t>Stock</t>
  </si>
  <si>
    <t>WIP On-dt MT</t>
  </si>
  <si>
    <t>Despatch</t>
  </si>
  <si>
    <t>On-dt</t>
  </si>
  <si>
    <t>MTD</t>
  </si>
  <si>
    <t>YTD</t>
  </si>
  <si>
    <t>On Dt</t>
  </si>
  <si>
    <t>SRM</t>
  </si>
  <si>
    <t>SFG</t>
  </si>
  <si>
    <t>HRC</t>
  </si>
  <si>
    <t xml:space="preserve">Tinned Coils </t>
  </si>
  <si>
    <t>EFG Sheet</t>
  </si>
  <si>
    <t>FHCR</t>
  </si>
  <si>
    <t>SHL WIP</t>
  </si>
  <si>
    <t>ETP  Coils</t>
  </si>
  <si>
    <t>HRC Rej</t>
  </si>
  <si>
    <t>CSB</t>
  </si>
  <si>
    <t xml:space="preserve">CRM </t>
  </si>
  <si>
    <t>TMBP</t>
  </si>
  <si>
    <t xml:space="preserve">CRM WIP </t>
  </si>
  <si>
    <t>Packet(Scrap)</t>
  </si>
  <si>
    <t>Total--&gt;</t>
  </si>
  <si>
    <t>Solution Center
Shivdutta Das</t>
  </si>
  <si>
    <t>Lacquering Line</t>
  </si>
  <si>
    <t>Printing Line-1</t>
  </si>
  <si>
    <t>Printing Line-2</t>
  </si>
  <si>
    <t>Total</t>
  </si>
  <si>
    <t>Line  Production(MT)</t>
  </si>
  <si>
    <t>Pack Production(MT)</t>
  </si>
  <si>
    <t>Line Delay (Hrs)</t>
  </si>
  <si>
    <t>ETL</t>
  </si>
  <si>
    <t>ETL-1 ( Mihir Kumar)</t>
  </si>
  <si>
    <t>ETL-2 Buffer/Coil Form</t>
  </si>
  <si>
    <t>ETL-2 SHL-1</t>
  </si>
  <si>
    <t>ETL-2 SHL-2</t>
  </si>
  <si>
    <t>Total ETL-2</t>
  </si>
  <si>
    <t>Total-ETL1/2</t>
  </si>
  <si>
    <t>Pack Production(GMT)</t>
  </si>
  <si>
    <t>Pack Prod. Yield(%)</t>
  </si>
  <si>
    <t>Pack Prod. Yield-2(%)</t>
  </si>
  <si>
    <t>CRM PP(Atma)</t>
  </si>
  <si>
    <t>ETL Trans</t>
  </si>
  <si>
    <t>CRM
Unitwise</t>
  </si>
  <si>
    <t>Line Production (MT)</t>
  </si>
  <si>
    <t>Throuhgput (MT/Hr)</t>
  </si>
  <si>
    <t>Thrput Factor (%)</t>
  </si>
  <si>
    <t>Mill Availibility (%)</t>
  </si>
  <si>
    <t>CRM Mat. Yield</t>
  </si>
  <si>
    <t xml:space="preserve"> Daily Plant Performance Report </t>
  </si>
  <si>
    <t>Prabhat Sinha</t>
  </si>
  <si>
    <t>SRM_STK_CLO</t>
  </si>
  <si>
    <t>DESP_PROD_SC_ONDT</t>
  </si>
  <si>
    <t>DESP_PROD_SC_MTD</t>
  </si>
  <si>
    <t>sfg_stk_clo</t>
  </si>
  <si>
    <t>Hard Coded</t>
  </si>
  <si>
    <t>HRC_ROH_1001_REC_ONDT</t>
  </si>
  <si>
    <t>HRC_ROH_1001_REC_MTD</t>
  </si>
  <si>
    <t>HRC_STL_CLO</t>
  </si>
  <si>
    <t>DESP_PROD_ETPS_ONDT</t>
  </si>
  <si>
    <t>DESP_PROD_ETPS_MTD</t>
  </si>
  <si>
    <t>ETP_sheet_stk_clo</t>
  </si>
  <si>
    <t>Done by Anamika</t>
  </si>
  <si>
    <t>DESP_PROD_ETPC_ONDT</t>
  </si>
  <si>
    <t>DESP_PROD_ETPC_MTD</t>
  </si>
  <si>
    <t>ETP_coil_stk_clo</t>
  </si>
  <si>
    <t>Done by Sanjeev</t>
  </si>
  <si>
    <t>HRC_REJ_1002_REC_ONDT</t>
  </si>
  <si>
    <t>HRC_REJ_1002_REC_MTD</t>
  </si>
  <si>
    <t>REJ_STK_CLO</t>
  </si>
  <si>
    <t>715-J6</t>
  </si>
  <si>
    <t>DESP_PROD_CRM_ONDT</t>
  </si>
  <si>
    <t>DESP_PROD_CRM_MTD</t>
  </si>
  <si>
    <t>CRM_STK_CLO</t>
  </si>
  <si>
    <t>DESP_PROD_ETL_SCRP_ONDT</t>
  </si>
  <si>
    <t>DESP_PROD_ETL_SCRP_MTD</t>
  </si>
  <si>
    <t>PSCRAP_STK_CLO</t>
  </si>
  <si>
    <t xml:space="preserve">Major Delays </t>
  </si>
  <si>
    <t>Laq.line</t>
  </si>
  <si>
    <t>(A-2:10 - S/D, B-1:49 - Mech. Delay)</t>
  </si>
  <si>
    <t>802+803</t>
  </si>
  <si>
    <t>832+833</t>
  </si>
  <si>
    <t>862+863</t>
  </si>
  <si>
    <t>804+805+806</t>
  </si>
  <si>
    <t>834+835+836</t>
  </si>
  <si>
    <t>864+865+866</t>
  </si>
  <si>
    <t>=C13+G13+L13</t>
  </si>
  <si>
    <t>=D13+H13+M13</t>
  </si>
  <si>
    <t>=E13+I13+N13</t>
  </si>
  <si>
    <t>812+813</t>
  </si>
  <si>
    <t>842+843</t>
  </si>
  <si>
    <t>872+873</t>
  </si>
  <si>
    <t>814+815+816</t>
  </si>
  <si>
    <t>844+845+846</t>
  </si>
  <si>
    <t>874+875+876</t>
  </si>
  <si>
    <t>=C14+G14+L14</t>
  </si>
  <si>
    <t>=D14+H14+M14</t>
  </si>
  <si>
    <t>=E14+I14+N14</t>
  </si>
  <si>
    <t>822+823</t>
  </si>
  <si>
    <t>852+853</t>
  </si>
  <si>
    <t>882+883</t>
  </si>
  <si>
    <t>824+825+826</t>
  </si>
  <si>
    <t>854+855+856</t>
  </si>
  <si>
    <t>884+885+886</t>
  </si>
  <si>
    <t>=C15+G15+L15</t>
  </si>
  <si>
    <t>=D15+H15+M15</t>
  </si>
  <si>
    <t>=E15+I15+N15</t>
  </si>
  <si>
    <t>Print</t>
  </si>
  <si>
    <t>Line - 1 (A-2:00 - Elect. Delay, B-1:43 - Mech. Delay, 2:30 - R/M Delay, C-8:00 - do -)
Line - 2 (No Major Delay)</t>
  </si>
  <si>
    <t>2:16 (No Major Delay)</t>
  </si>
  <si>
    <t>Line Production(MT)</t>
  </si>
  <si>
    <t>Pack Production(NMT)</t>
  </si>
  <si>
    <t xml:space="preserve">L.P. Prime Yield( % ) </t>
  </si>
  <si>
    <t>No of Interruptions</t>
  </si>
  <si>
    <t>ETL Defect   ( % )</t>
  </si>
  <si>
    <t>CRM Defect   ( % )</t>
  </si>
  <si>
    <t>Mill Availability( % )</t>
  </si>
  <si>
    <t>1:17 (No Major Delay)</t>
  </si>
  <si>
    <t>Throughput(MT/ Hr)</t>
  </si>
  <si>
    <t>Avg Thickness(MM)</t>
  </si>
  <si>
    <t>Avg Width(MM)</t>
  </si>
  <si>
    <t>ETL Thrput Factor(%)</t>
  </si>
  <si>
    <t>Packet  (Scrap)</t>
  </si>
  <si>
    <t>Pick Sched (Coil, nos)</t>
  </si>
  <si>
    <t>Tin Report
Date:</t>
  </si>
  <si>
    <t>ETL-1</t>
  </si>
  <si>
    <t>ETL-2</t>
  </si>
  <si>
    <t>B37+C37+D37+E37</t>
  </si>
  <si>
    <t>B38+C38+D38+E38</t>
  </si>
  <si>
    <t>Overspent (%)</t>
  </si>
  <si>
    <t>B39+C39+D39+E39</t>
  </si>
  <si>
    <t>Overcoat (%)</t>
  </si>
  <si>
    <t>WIP
(Nos.)</t>
  </si>
  <si>
    <t>TGT</t>
  </si>
  <si>
    <t>Pick-1&amp;2
M K Dubey</t>
  </si>
  <si>
    <t>0:55 (No Major Delay)</t>
  </si>
  <si>
    <t>6 hi-1 Shom Shekhar</t>
  </si>
  <si>
    <t>1:41 (No Major Delay)</t>
  </si>
  <si>
    <t>6 hi-2
Puneet</t>
  </si>
  <si>
    <t>2:36 (No Major Delay)</t>
  </si>
  <si>
    <t>ECL-1
Amresh</t>
  </si>
  <si>
    <t>5:26 (A-3:21 - Space not avaiable for processed, coils, B-1:00 - H H Coil processed)</t>
  </si>
  <si>
    <t>ECL-2
Amresh</t>
  </si>
  <si>
    <t>2:41 (A-1:23 - Space not avialable for processed coils)</t>
  </si>
  <si>
    <t>BAF-1&amp;2
Amresh</t>
  </si>
  <si>
    <t>4 HI-1
Sk.Mehabub</t>
  </si>
  <si>
    <t>6:31 (A-1:00 - W R changed, B-1:40 - do -, C-1:26 - do -)</t>
  </si>
  <si>
    <t>4 HI-2
Anil Kumar</t>
  </si>
  <si>
    <t>5:18 (A-3:00 - S/D, B-1:00 - W R Changed)</t>
  </si>
  <si>
    <t>CPL-1&amp;2
Suvendu</t>
  </si>
  <si>
    <t xml:space="preserve"> </t>
  </si>
  <si>
    <t>ARP: M K Dubey</t>
  </si>
  <si>
    <t>Roll Grinding Shop: Om Prakash</t>
  </si>
  <si>
    <t>Equivalent WR</t>
  </si>
  <si>
    <t>Availability</t>
  </si>
  <si>
    <t>ARP</t>
  </si>
  <si>
    <t>OND</t>
  </si>
  <si>
    <t>MC#</t>
  </si>
  <si>
    <t>6hi WR</t>
  </si>
  <si>
    <t>6hi IMR</t>
  </si>
  <si>
    <t>6hi BUR</t>
  </si>
  <si>
    <t>4Hi WR</t>
  </si>
  <si>
    <t>4Hi BUR</t>
  </si>
  <si>
    <t>Acid(MT)</t>
  </si>
  <si>
    <t>Red Oxide</t>
  </si>
  <si>
    <t>Propane</t>
  </si>
  <si>
    <t>Delay(Hrs)</t>
  </si>
  <si>
    <t>No Delay</t>
  </si>
  <si>
    <t>Delay Hrs</t>
  </si>
  <si>
    <t>System Generated Report  -</t>
  </si>
  <si>
    <t>RUN_DATE</t>
  </si>
  <si>
    <t>FHCR_REC_ONDT</t>
  </si>
  <si>
    <t>FHCR_REC_MTD</t>
  </si>
  <si>
    <t>TMBP_1001_REC_ONDT</t>
  </si>
  <si>
    <t>TMBP_1001_REC_MTD</t>
  </si>
  <si>
    <t>SFG_STK_CLO</t>
  </si>
  <si>
    <t>ETP_SHEET_STK_CLO</t>
  </si>
  <si>
    <t>ETP_COIL_STK_CLO</t>
  </si>
  <si>
    <t>FHCR_STL_CLO</t>
  </si>
  <si>
    <t>TMBP_STL_CLO</t>
  </si>
  <si>
    <t>CREATEDBY</t>
  </si>
  <si>
    <t>CREATEDON</t>
  </si>
  <si>
    <t>UPDATEDBY</t>
  </si>
  <si>
    <t>UPDATEDON</t>
  </si>
  <si>
    <t>11.06.2025</t>
  </si>
  <si>
    <t>DATE</t>
  </si>
  <si>
    <t>ID</t>
  </si>
  <si>
    <t>VALUE</t>
  </si>
  <si>
    <t>SAP</t>
  </si>
  <si>
    <t>RPT_SAP_STRING</t>
  </si>
  <si>
    <t>SYSDATE-1</t>
  </si>
  <si>
    <t>Pickling</t>
  </si>
  <si>
    <t>TMS</t>
  </si>
  <si>
    <t>RPT_PPR_ACTUAL</t>
  </si>
  <si>
    <t>6HI</t>
  </si>
  <si>
    <t>ECL</t>
  </si>
  <si>
    <t>BAF</t>
  </si>
  <si>
    <t>4HI</t>
  </si>
  <si>
    <t>CPL</t>
  </si>
  <si>
    <t>PARAMETER_ID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</si>
</sst>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d\-mmm\-yy;@"/>
    <numFmt numFmtId="165" formatCode="0.000"/>
    <numFmt numFmtId="166" formatCode="dd\-mm\-yyyy\ "/>
    <numFmt numFmtId="167" formatCode="[$-409]h:mm:ss\ AM/PM;@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b/>
      <sz val="14"/>
      <color theme="1"/>
      <name val="Arial"/>
      <family val="2"/>
    </font>
    <font>
      <b/>
      <sz val="18"/>
      <color theme="0"/>
      <name val="Arial"/>
      <family val="2"/>
    </font>
    <font>
      <b/>
      <i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rgb="FF00B050"/>
      <name val="Arial"/>
      <family val="2"/>
    </font>
    <font>
      <b/>
      <sz val="11"/>
      <color theme="2" tint="-0.499984740745262"/>
      <name val="Arial"/>
      <family val="2"/>
    </font>
    <font>
      <b/>
      <i/>
      <sz val="12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963A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7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/>
      <top style="thin">
        <color rgb="FF00B05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theme="3"/>
      </left>
      <right/>
      <top style="medium">
        <color indexed="64"/>
      </top>
      <bottom style="thin">
        <color theme="3"/>
      </bottom>
      <diagonal/>
    </border>
    <border>
      <left/>
      <right style="thin">
        <color theme="3"/>
      </right>
      <top style="medium">
        <color indexed="64"/>
      </top>
      <bottom style="thin">
        <color theme="3"/>
      </bottom>
      <diagonal/>
    </border>
    <border>
      <left style="thin">
        <color theme="3"/>
      </left>
      <right/>
      <top style="medium">
        <color indexed="64"/>
      </top>
      <bottom/>
      <diagonal/>
    </border>
    <border>
      <left/>
      <right style="medium">
        <color rgb="FF2963A9"/>
      </right>
      <top style="medium">
        <color indexed="64"/>
      </top>
      <bottom/>
      <diagonal/>
    </border>
    <border>
      <left style="medium">
        <color rgb="FF2963A9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rgb="FF2963A9"/>
      </right>
      <top/>
      <bottom/>
      <diagonal/>
    </border>
    <border>
      <left style="medium">
        <color rgb="FF2963A9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3"/>
      </left>
      <right style="thin">
        <color theme="3"/>
      </right>
      <top/>
      <bottom/>
      <diagonal/>
    </border>
    <border>
      <left style="thin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 style="thin">
        <color theme="1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3" tint="0.39997558519241921"/>
      </top>
      <bottom/>
      <diagonal/>
    </border>
  </borders>
  <cellStyleXfs count="1">
    <xf numFmtId="0" fontId="0" fillId="0" borderId="0"/>
  </cellStyleXfs>
  <cellXfs count="380">
    <xf numFmtId="0" fontId="0" fillId="0" borderId="0" xfId="0"/>
    <xf numFmtId="0" fontId="3" fillId="5" borderId="1" xfId="0" applyFont="1" applyFill="1" applyBorder="1" applyAlignment="1">
      <alignment horizontal="left"/>
    </xf>
    <xf numFmtId="0" fontId="2" fillId="2" borderId="15" xfId="0" quotePrefix="1" applyFont="1" applyFill="1" applyBorder="1" applyAlignment="1">
      <alignment horizontal="left" vertical="top" wrapText="1"/>
    </xf>
    <xf numFmtId="0" fontId="3" fillId="5" borderId="9" xfId="0" applyFont="1" applyFill="1" applyBorder="1" applyAlignment="1">
      <alignment horizontal="left"/>
    </xf>
    <xf numFmtId="0" fontId="3" fillId="5" borderId="14" xfId="0" quotePrefix="1" applyFont="1" applyFill="1" applyBorder="1" applyAlignment="1">
      <alignment horizontal="left"/>
    </xf>
    <xf numFmtId="0" fontId="3" fillId="5" borderId="0" xfId="0" quotePrefix="1" applyFont="1" applyFill="1" applyAlignment="1">
      <alignment horizontal="left"/>
    </xf>
    <xf numFmtId="22" fontId="0" fillId="0" borderId="0" xfId="0" applyNumberFormat="1"/>
    <xf numFmtId="0" fontId="1" fillId="6" borderId="0" xfId="0" applyFont="1" applyFill="1"/>
    <xf numFmtId="0" fontId="3" fillId="5" borderId="2" xfId="0" applyFont="1" applyFill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4" borderId="9" xfId="0" applyFont="1" applyFill="1" applyBorder="1" applyAlignment="1">
      <alignment horizontal="left" vertical="center"/>
    </xf>
    <xf numFmtId="0" fontId="3" fillId="4" borderId="9" xfId="0" applyFont="1" applyFill="1" applyBorder="1" applyAlignment="1">
      <alignment horizontal="left"/>
    </xf>
    <xf numFmtId="1" fontId="3" fillId="4" borderId="9" xfId="0" applyNumberFormat="1" applyFont="1" applyFill="1" applyBorder="1" applyAlignment="1">
      <alignment horizontal="left"/>
    </xf>
    <xf numFmtId="1" fontId="3" fillId="5" borderId="0" xfId="0" quotePrefix="1" applyNumberFormat="1" applyFont="1" applyFill="1" applyAlignment="1">
      <alignment horizontal="left"/>
    </xf>
    <xf numFmtId="1" fontId="3" fillId="5" borderId="0" xfId="0" applyNumberFormat="1" applyFont="1" applyFill="1" applyAlignment="1">
      <alignment horizontal="left"/>
    </xf>
    <xf numFmtId="0" fontId="5" fillId="0" borderId="0" xfId="0" applyFont="1" applyAlignment="1">
      <alignment horizontal="left"/>
    </xf>
    <xf numFmtId="0" fontId="3" fillId="0" borderId="3" xfId="0" applyFont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4" fillId="4" borderId="9" xfId="0" quotePrefix="1" applyFont="1" applyFill="1" applyBorder="1" applyAlignment="1">
      <alignment horizontal="left"/>
    </xf>
    <xf numFmtId="0" fontId="4" fillId="4" borderId="9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1" fontId="3" fillId="5" borderId="9" xfId="0" applyNumberFormat="1" applyFont="1" applyFill="1" applyBorder="1" applyAlignment="1">
      <alignment horizontal="left"/>
    </xf>
    <xf numFmtId="0" fontId="3" fillId="5" borderId="18" xfId="0" quotePrefix="1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4" fillId="4" borderId="10" xfId="0" applyFont="1" applyFill="1" applyBorder="1" applyAlignment="1">
      <alignment horizontal="left"/>
    </xf>
    <xf numFmtId="0" fontId="4" fillId="7" borderId="0" xfId="0" applyFont="1" applyFill="1" applyAlignment="1">
      <alignment horizontal="left"/>
    </xf>
    <xf numFmtId="0" fontId="3" fillId="5" borderId="22" xfId="0" applyFont="1" applyFill="1" applyBorder="1" applyAlignment="1">
      <alignment horizontal="left" vertical="center"/>
    </xf>
    <xf numFmtId="0" fontId="4" fillId="5" borderId="27" xfId="0" applyFont="1" applyFill="1" applyBorder="1" applyAlignment="1">
      <alignment horizontal="left"/>
    </xf>
    <xf numFmtId="0" fontId="8" fillId="5" borderId="28" xfId="0" applyFont="1" applyFill="1" applyBorder="1" applyAlignment="1">
      <alignment horizontal="left"/>
    </xf>
    <xf numFmtId="164" fontId="9" fillId="2" borderId="28" xfId="0" applyNumberFormat="1" applyFont="1" applyFill="1" applyBorder="1" applyAlignment="1">
      <alignment horizontal="left" vertical="center"/>
    </xf>
    <xf numFmtId="0" fontId="8" fillId="5" borderId="31" xfId="0" applyFont="1" applyFill="1" applyBorder="1" applyAlignment="1">
      <alignment horizontal="left"/>
    </xf>
    <xf numFmtId="0" fontId="4" fillId="5" borderId="28" xfId="0" applyFont="1" applyFill="1" applyBorder="1" applyAlignment="1">
      <alignment horizontal="left"/>
    </xf>
    <xf numFmtId="0" fontId="4" fillId="5" borderId="32" xfId="0" applyFont="1" applyFill="1" applyBorder="1" applyAlignment="1">
      <alignment horizontal="left"/>
    </xf>
    <xf numFmtId="0" fontId="4" fillId="5" borderId="14" xfId="0" applyFont="1" applyFill="1" applyBorder="1" applyAlignment="1">
      <alignment horizontal="left"/>
    </xf>
    <xf numFmtId="0" fontId="4" fillId="5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5" borderId="35" xfId="0" applyFont="1" applyFill="1" applyBorder="1" applyAlignment="1">
      <alignment horizontal="left"/>
    </xf>
    <xf numFmtId="0" fontId="10" fillId="5" borderId="0" xfId="0" applyFont="1" applyFill="1" applyAlignment="1">
      <alignment horizontal="left"/>
    </xf>
    <xf numFmtId="0" fontId="4" fillId="5" borderId="36" xfId="0" applyFont="1" applyFill="1" applyBorder="1" applyAlignment="1">
      <alignment horizontal="left"/>
    </xf>
    <xf numFmtId="0" fontId="3" fillId="7" borderId="0" xfId="0" applyFont="1" applyFill="1" applyAlignment="1">
      <alignment horizontal="left"/>
    </xf>
    <xf numFmtId="0" fontId="3" fillId="7" borderId="9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3" fillId="5" borderId="11" xfId="0" applyFont="1" applyFill="1" applyBorder="1" applyAlignment="1">
      <alignment horizontal="left"/>
    </xf>
    <xf numFmtId="1" fontId="6" fillId="8" borderId="9" xfId="0" applyNumberFormat="1" applyFont="1" applyFill="1" applyBorder="1" applyAlignment="1" applyProtection="1">
      <alignment horizontal="left"/>
      <protection hidden="1"/>
    </xf>
    <xf numFmtId="1" fontId="6" fillId="9" borderId="9" xfId="0" applyNumberFormat="1" applyFont="1" applyFill="1" applyBorder="1" applyAlignment="1" applyProtection="1">
      <alignment horizontal="left"/>
      <protection hidden="1"/>
    </xf>
    <xf numFmtId="1" fontId="3" fillId="7" borderId="13" xfId="0" applyNumberFormat="1" applyFont="1" applyFill="1" applyBorder="1" applyAlignment="1" applyProtection="1">
      <alignment horizontal="left"/>
      <protection hidden="1"/>
    </xf>
    <xf numFmtId="1" fontId="3" fillId="9" borderId="9" xfId="0" applyNumberFormat="1" applyFont="1" applyFill="1" applyBorder="1" applyAlignment="1" applyProtection="1">
      <alignment horizontal="left"/>
      <protection hidden="1"/>
    </xf>
    <xf numFmtId="1" fontId="3" fillId="8" borderId="9" xfId="0" applyNumberFormat="1" applyFont="1" applyFill="1" applyBorder="1" applyAlignment="1" applyProtection="1">
      <alignment horizontal="left"/>
      <protection hidden="1"/>
    </xf>
    <xf numFmtId="1" fontId="3" fillId="10" borderId="3" xfId="0" applyNumberFormat="1" applyFont="1" applyFill="1" applyBorder="1" applyAlignment="1" applyProtection="1">
      <alignment horizontal="left" vertical="center"/>
      <protection hidden="1"/>
    </xf>
    <xf numFmtId="1" fontId="6" fillId="8" borderId="9" xfId="0" quotePrefix="1" applyNumberFormat="1" applyFont="1" applyFill="1" applyBorder="1" applyAlignment="1" applyProtection="1">
      <alignment horizontal="left"/>
      <protection hidden="1"/>
    </xf>
    <xf numFmtId="0" fontId="3" fillId="9" borderId="9" xfId="0" quotePrefix="1" applyFont="1" applyFill="1" applyBorder="1" applyAlignment="1">
      <alignment horizontal="left"/>
    </xf>
    <xf numFmtId="1" fontId="3" fillId="9" borderId="9" xfId="0" quotePrefix="1" applyNumberFormat="1" applyFont="1" applyFill="1" applyBorder="1" applyAlignment="1">
      <alignment horizontal="left"/>
    </xf>
    <xf numFmtId="1" fontId="3" fillId="9" borderId="9" xfId="0" applyNumberFormat="1" applyFont="1" applyFill="1" applyBorder="1" applyAlignment="1">
      <alignment horizontal="left"/>
    </xf>
    <xf numFmtId="1" fontId="6" fillId="8" borderId="9" xfId="0" applyNumberFormat="1" applyFont="1" applyFill="1" applyBorder="1" applyAlignment="1">
      <alignment horizontal="left"/>
    </xf>
    <xf numFmtId="1" fontId="6" fillId="8" borderId="2" xfId="0" applyNumberFormat="1" applyFont="1" applyFill="1" applyBorder="1" applyAlignment="1">
      <alignment horizontal="left"/>
    </xf>
    <xf numFmtId="0" fontId="6" fillId="9" borderId="9" xfId="0" applyFont="1" applyFill="1" applyBorder="1" applyAlignment="1">
      <alignment horizontal="left"/>
    </xf>
    <xf numFmtId="1" fontId="3" fillId="8" borderId="9" xfId="0" applyNumberFormat="1" applyFont="1" applyFill="1" applyBorder="1" applyAlignment="1">
      <alignment horizontal="left"/>
    </xf>
    <xf numFmtId="0" fontId="3" fillId="7" borderId="0" xfId="0" quotePrefix="1" applyFont="1" applyFill="1" applyAlignment="1">
      <alignment horizontal="left"/>
    </xf>
    <xf numFmtId="1" fontId="3" fillId="8" borderId="2" xfId="0" applyNumberFormat="1" applyFont="1" applyFill="1" applyBorder="1" applyAlignment="1" applyProtection="1">
      <alignment horizontal="left"/>
      <protection hidden="1"/>
    </xf>
    <xf numFmtId="0" fontId="4" fillId="7" borderId="41" xfId="0" applyFont="1" applyFill="1" applyBorder="1" applyAlignment="1">
      <alignment horizontal="left"/>
    </xf>
    <xf numFmtId="0" fontId="3" fillId="7" borderId="45" xfId="0" applyFont="1" applyFill="1" applyBorder="1" applyAlignment="1">
      <alignment horizontal="left" vertical="center"/>
    </xf>
    <xf numFmtId="0" fontId="3" fillId="7" borderId="23" xfId="0" applyFont="1" applyFill="1" applyBorder="1" applyAlignment="1">
      <alignment horizontal="left" vertical="center"/>
    </xf>
    <xf numFmtId="0" fontId="3" fillId="7" borderId="9" xfId="0" applyFont="1" applyFill="1" applyBorder="1" applyAlignment="1">
      <alignment horizontal="left" vertical="center"/>
    </xf>
    <xf numFmtId="0" fontId="3" fillId="7" borderId="22" xfId="0" applyFont="1" applyFill="1" applyBorder="1" applyAlignment="1">
      <alignment horizontal="left" vertical="center"/>
    </xf>
    <xf numFmtId="0" fontId="3" fillId="5" borderId="46" xfId="0" applyFont="1" applyFill="1" applyBorder="1" applyAlignment="1">
      <alignment horizontal="left" vertical="center"/>
    </xf>
    <xf numFmtId="1" fontId="3" fillId="8" borderId="22" xfId="0" applyNumberFormat="1" applyFont="1" applyFill="1" applyBorder="1" applyAlignment="1" applyProtection="1">
      <alignment horizontal="left" vertical="center"/>
      <protection hidden="1"/>
    </xf>
    <xf numFmtId="1" fontId="3" fillId="7" borderId="22" xfId="0" applyNumberFormat="1" applyFont="1" applyFill="1" applyBorder="1" applyAlignment="1" applyProtection="1">
      <alignment horizontal="left" vertical="center"/>
      <protection hidden="1"/>
    </xf>
    <xf numFmtId="1" fontId="3" fillId="5" borderId="22" xfId="0" quotePrefix="1" applyNumberFormat="1" applyFont="1" applyFill="1" applyBorder="1" applyAlignment="1" applyProtection="1">
      <alignment horizontal="left" vertical="center"/>
      <protection hidden="1"/>
    </xf>
    <xf numFmtId="165" fontId="3" fillId="7" borderId="22" xfId="0" applyNumberFormat="1" applyFont="1" applyFill="1" applyBorder="1" applyAlignment="1" applyProtection="1">
      <alignment horizontal="left" vertical="center"/>
      <protection hidden="1"/>
    </xf>
    <xf numFmtId="1" fontId="3" fillId="5" borderId="13" xfId="0" applyNumberFormat="1" applyFont="1" applyFill="1" applyBorder="1" applyAlignment="1" applyProtection="1">
      <alignment horizontal="left" vertical="center"/>
      <protection hidden="1"/>
    </xf>
    <xf numFmtId="1" fontId="3" fillId="0" borderId="49" xfId="0" applyNumberFormat="1" applyFont="1" applyBorder="1"/>
    <xf numFmtId="1" fontId="3" fillId="7" borderId="0" xfId="0" applyNumberFormat="1" applyFont="1" applyFill="1"/>
    <xf numFmtId="1" fontId="3" fillId="7" borderId="0" xfId="0" applyNumberFormat="1" applyFont="1" applyFill="1" applyAlignment="1">
      <alignment horizontal="left"/>
    </xf>
    <xf numFmtId="1" fontId="4" fillId="7" borderId="7" xfId="0" applyNumberFormat="1" applyFont="1" applyFill="1" applyBorder="1" applyAlignment="1">
      <alignment horizontal="left"/>
    </xf>
    <xf numFmtId="1" fontId="4" fillId="7" borderId="9" xfId="0" applyNumberFormat="1" applyFont="1" applyFill="1" applyBorder="1" applyAlignment="1">
      <alignment horizontal="left"/>
    </xf>
    <xf numFmtId="0" fontId="4" fillId="4" borderId="20" xfId="0" applyFont="1" applyFill="1" applyBorder="1" applyAlignment="1">
      <alignment horizontal="left"/>
    </xf>
    <xf numFmtId="1" fontId="3" fillId="0" borderId="3" xfId="0" applyNumberFormat="1" applyFont="1" applyBorder="1" applyAlignment="1">
      <alignment horizontal="left"/>
    </xf>
    <xf numFmtId="1" fontId="3" fillId="5" borderId="3" xfId="0" applyNumberFormat="1" applyFont="1" applyFill="1" applyBorder="1" applyAlignment="1">
      <alignment horizontal="left"/>
    </xf>
    <xf numFmtId="1" fontId="3" fillId="0" borderId="52" xfId="0" applyNumberFormat="1" applyFont="1" applyBorder="1" applyAlignment="1">
      <alignment horizontal="left"/>
    </xf>
    <xf numFmtId="1" fontId="3" fillId="5" borderId="4" xfId="0" applyNumberFormat="1" applyFont="1" applyFill="1" applyBorder="1" applyAlignment="1">
      <alignment horizontal="left"/>
    </xf>
    <xf numFmtId="1" fontId="3" fillId="7" borderId="53" xfId="0" applyNumberFormat="1" applyFont="1" applyFill="1" applyBorder="1" applyAlignment="1">
      <alignment horizontal="left"/>
    </xf>
    <xf numFmtId="1" fontId="3" fillId="5" borderId="12" xfId="0" applyNumberFormat="1" applyFont="1" applyFill="1" applyBorder="1" applyAlignment="1">
      <alignment horizontal="left"/>
    </xf>
    <xf numFmtId="1" fontId="4" fillId="0" borderId="7" xfId="0" applyNumberFormat="1" applyFont="1" applyBorder="1" applyAlignment="1">
      <alignment horizontal="left"/>
    </xf>
    <xf numFmtId="1" fontId="4" fillId="7" borderId="51" xfId="0" applyNumberFormat="1" applyFont="1" applyFill="1" applyBorder="1"/>
    <xf numFmtId="1" fontId="4" fillId="0" borderId="9" xfId="0" applyNumberFormat="1" applyFont="1" applyBorder="1" applyAlignment="1">
      <alignment horizontal="left"/>
    </xf>
    <xf numFmtId="1" fontId="3" fillId="0" borderId="3" xfId="0" applyNumberFormat="1" applyFont="1" applyBorder="1" applyAlignment="1" applyProtection="1">
      <alignment horizontal="left"/>
      <protection hidden="1"/>
    </xf>
    <xf numFmtId="1" fontId="3" fillId="0" borderId="0" xfId="0" applyNumberFormat="1" applyFont="1" applyAlignment="1">
      <alignment horizontal="left"/>
    </xf>
    <xf numFmtId="1" fontId="3" fillId="0" borderId="4" xfId="0" applyNumberFormat="1" applyFont="1" applyBorder="1" applyAlignment="1" applyProtection="1">
      <alignment horizontal="left"/>
      <protection hidden="1"/>
    </xf>
    <xf numFmtId="1" fontId="3" fillId="0" borderId="9" xfId="0" applyNumberFormat="1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wrapText="1"/>
    </xf>
    <xf numFmtId="1" fontId="4" fillId="7" borderId="54" xfId="0" applyNumberFormat="1" applyFont="1" applyFill="1" applyBorder="1"/>
    <xf numFmtId="1" fontId="3" fillId="7" borderId="9" xfId="0" applyNumberFormat="1" applyFont="1" applyFill="1" applyBorder="1" applyAlignment="1">
      <alignment horizontal="left" vertical="top" wrapText="1"/>
    </xf>
    <xf numFmtId="1" fontId="6" fillId="8" borderId="3" xfId="0" applyNumberFormat="1" applyFont="1" applyFill="1" applyBorder="1" applyAlignment="1" applyProtection="1">
      <alignment horizontal="left"/>
      <protection hidden="1"/>
    </xf>
    <xf numFmtId="1" fontId="6" fillId="0" borderId="3" xfId="0" applyNumberFormat="1" applyFont="1" applyBorder="1" applyAlignment="1" applyProtection="1">
      <alignment horizontal="left"/>
      <protection hidden="1"/>
    </xf>
    <xf numFmtId="1" fontId="3" fillId="8" borderId="3" xfId="0" applyNumberFormat="1" applyFont="1" applyFill="1" applyBorder="1" applyAlignment="1" applyProtection="1">
      <alignment horizontal="left"/>
      <protection hidden="1"/>
    </xf>
    <xf numFmtId="1" fontId="3" fillId="8" borderId="9" xfId="0" applyNumberFormat="1" applyFont="1" applyFill="1" applyBorder="1" applyAlignment="1">
      <alignment horizontal="left" vertical="top" wrapText="1"/>
    </xf>
    <xf numFmtId="1" fontId="11" fillId="0" borderId="0" xfId="0" applyNumberFormat="1" applyFont="1" applyAlignment="1">
      <alignment horizontal="left"/>
    </xf>
    <xf numFmtId="1" fontId="3" fillId="8" borderId="12" xfId="0" applyNumberFormat="1" applyFont="1" applyFill="1" applyBorder="1" applyAlignment="1" applyProtection="1">
      <alignment horizontal="left"/>
      <protection hidden="1"/>
    </xf>
    <xf numFmtId="1" fontId="6" fillId="8" borderId="9" xfId="0" applyNumberFormat="1" applyFont="1" applyFill="1" applyBorder="1" applyAlignment="1">
      <alignment horizontal="left" vertical="top" wrapText="1"/>
    </xf>
    <xf numFmtId="0" fontId="3" fillId="5" borderId="7" xfId="0" quotePrefix="1" applyFont="1" applyFill="1" applyBorder="1" applyAlignment="1">
      <alignment horizontal="left"/>
    </xf>
    <xf numFmtId="1" fontId="3" fillId="0" borderId="12" xfId="0" applyNumberFormat="1" applyFont="1" applyBorder="1" applyAlignment="1" applyProtection="1">
      <alignment horizontal="left"/>
      <protection hidden="1"/>
    </xf>
    <xf numFmtId="1" fontId="3" fillId="0" borderId="0" xfId="0" applyNumberFormat="1" applyFont="1"/>
    <xf numFmtId="1" fontId="3" fillId="0" borderId="13" xfId="0" applyNumberFormat="1" applyFont="1" applyBorder="1" applyAlignment="1" applyProtection="1">
      <alignment horizontal="left"/>
      <protection hidden="1"/>
    </xf>
    <xf numFmtId="1" fontId="4" fillId="0" borderId="54" xfId="0" applyNumberFormat="1" applyFont="1" applyBorder="1"/>
    <xf numFmtId="1" fontId="6" fillId="0" borderId="9" xfId="0" applyNumberFormat="1" applyFont="1" applyBorder="1" applyAlignment="1">
      <alignment horizontal="left" vertical="top" wrapText="1"/>
    </xf>
    <xf numFmtId="1" fontId="3" fillId="7" borderId="9" xfId="0" applyNumberFormat="1" applyFont="1" applyFill="1" applyBorder="1" applyAlignment="1">
      <alignment horizontal="left"/>
    </xf>
    <xf numFmtId="1" fontId="6" fillId="0" borderId="0" xfId="0" applyNumberFormat="1" applyFont="1" applyAlignment="1">
      <alignment horizontal="left"/>
    </xf>
    <xf numFmtId="1" fontId="3" fillId="0" borderId="35" xfId="0" applyNumberFormat="1" applyFont="1" applyBorder="1" applyAlignment="1">
      <alignment horizontal="left"/>
    </xf>
    <xf numFmtId="1" fontId="3" fillId="0" borderId="9" xfId="0" applyNumberFormat="1" applyFont="1" applyBorder="1" applyAlignment="1">
      <alignment horizontal="left"/>
    </xf>
    <xf numFmtId="1" fontId="4" fillId="7" borderId="17" xfId="0" applyNumberFormat="1" applyFont="1" applyFill="1" applyBorder="1"/>
    <xf numFmtId="1" fontId="12" fillId="0" borderId="12" xfId="0" applyNumberFormat="1" applyFont="1" applyBorder="1" applyAlignment="1">
      <alignment horizontal="left"/>
    </xf>
    <xf numFmtId="1" fontId="3" fillId="5" borderId="49" xfId="0" applyNumberFormat="1" applyFont="1" applyFill="1" applyBorder="1" applyAlignment="1">
      <alignment horizontal="left"/>
    </xf>
    <xf numFmtId="1" fontId="3" fillId="5" borderId="6" xfId="0" applyNumberFormat="1" applyFont="1" applyFill="1" applyBorder="1" applyAlignment="1">
      <alignment horizontal="left"/>
    </xf>
    <xf numFmtId="1" fontId="3" fillId="5" borderId="7" xfId="0" applyNumberFormat="1" applyFont="1" applyFill="1" applyBorder="1" applyAlignment="1">
      <alignment horizontal="left"/>
    </xf>
    <xf numFmtId="1" fontId="3" fillId="7" borderId="7" xfId="0" applyNumberFormat="1" applyFont="1" applyFill="1" applyBorder="1" applyAlignment="1">
      <alignment horizontal="left"/>
    </xf>
    <xf numFmtId="1" fontId="4" fillId="7" borderId="11" xfId="0" applyNumberFormat="1" applyFont="1" applyFill="1" applyBorder="1" applyAlignment="1">
      <alignment horizontal="left"/>
    </xf>
    <xf numFmtId="0" fontId="4" fillId="7" borderId="9" xfId="0" applyFont="1" applyFill="1" applyBorder="1" applyAlignment="1">
      <alignment horizontal="left"/>
    </xf>
    <xf numFmtId="0" fontId="4" fillId="7" borderId="20" xfId="0" applyFont="1" applyFill="1" applyBorder="1" applyAlignment="1">
      <alignment horizontal="left"/>
    </xf>
    <xf numFmtId="0" fontId="4" fillId="4" borderId="39" xfId="0" applyFont="1" applyFill="1" applyBorder="1" applyAlignment="1">
      <alignment horizontal="left"/>
    </xf>
    <xf numFmtId="1" fontId="3" fillId="8" borderId="9" xfId="0" applyNumberFormat="1" applyFont="1" applyFill="1" applyBorder="1" applyAlignment="1" applyProtection="1">
      <alignment horizontal="left" vertical="center"/>
      <protection hidden="1"/>
    </xf>
    <xf numFmtId="1" fontId="4" fillId="5" borderId="9" xfId="0" applyNumberFormat="1" applyFont="1" applyFill="1" applyBorder="1" applyAlignment="1" applyProtection="1">
      <alignment horizontal="left" vertical="center"/>
      <protection hidden="1"/>
    </xf>
    <xf numFmtId="0" fontId="4" fillId="5" borderId="9" xfId="0" applyFont="1" applyFill="1" applyBorder="1" applyAlignment="1">
      <alignment horizontal="left"/>
    </xf>
    <xf numFmtId="1" fontId="4" fillId="5" borderId="43" xfId="0" applyNumberFormat="1" applyFont="1" applyFill="1" applyBorder="1" applyAlignment="1" applyProtection="1">
      <alignment horizontal="left" vertical="center"/>
      <protection hidden="1"/>
    </xf>
    <xf numFmtId="2" fontId="4" fillId="5" borderId="9" xfId="0" applyNumberFormat="1" applyFont="1" applyFill="1" applyBorder="1" applyAlignment="1" applyProtection="1">
      <alignment horizontal="left" vertical="center"/>
      <protection hidden="1"/>
    </xf>
    <xf numFmtId="2" fontId="4" fillId="5" borderId="9" xfId="0" applyNumberFormat="1" applyFont="1" applyFill="1" applyBorder="1" applyAlignment="1">
      <alignment horizontal="left"/>
    </xf>
    <xf numFmtId="0" fontId="3" fillId="5" borderId="58" xfId="0" applyFont="1" applyFill="1" applyBorder="1" applyAlignment="1">
      <alignment horizontal="left"/>
    </xf>
    <xf numFmtId="1" fontId="3" fillId="8" borderId="13" xfId="0" applyNumberFormat="1" applyFont="1" applyFill="1" applyBorder="1" applyAlignment="1" applyProtection="1">
      <alignment horizontal="left" vertical="center"/>
      <protection hidden="1"/>
    </xf>
    <xf numFmtId="2" fontId="4" fillId="5" borderId="13" xfId="0" applyNumberFormat="1" applyFont="1" applyFill="1" applyBorder="1" applyAlignment="1" applyProtection="1">
      <alignment horizontal="left" vertical="center"/>
      <protection hidden="1"/>
    </xf>
    <xf numFmtId="0" fontId="13" fillId="7" borderId="0" xfId="0" applyFont="1" applyFill="1" applyAlignment="1">
      <alignment horizontal="left"/>
    </xf>
    <xf numFmtId="0" fontId="13" fillId="7" borderId="41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1" fontId="3" fillId="5" borderId="3" xfId="0" applyNumberFormat="1" applyFont="1" applyFill="1" applyBorder="1" applyAlignment="1">
      <alignment horizontal="left" vertical="center"/>
    </xf>
    <xf numFmtId="1" fontId="3" fillId="0" borderId="9" xfId="0" applyNumberFormat="1" applyFont="1" applyBorder="1" applyAlignment="1">
      <alignment horizontal="left" vertical="center"/>
    </xf>
    <xf numFmtId="1" fontId="3" fillId="8" borderId="3" xfId="0" applyNumberFormat="1" applyFont="1" applyFill="1" applyBorder="1" applyAlignment="1" applyProtection="1">
      <alignment horizontal="left" vertical="center"/>
      <protection hidden="1"/>
    </xf>
    <xf numFmtId="1" fontId="3" fillId="10" borderId="4" xfId="0" applyNumberFormat="1" applyFont="1" applyFill="1" applyBorder="1" applyAlignment="1" applyProtection="1">
      <alignment horizontal="left" vertical="center"/>
      <protection hidden="1"/>
    </xf>
    <xf numFmtId="1" fontId="3" fillId="8" borderId="3" xfId="0" applyNumberFormat="1" applyFont="1" applyFill="1" applyBorder="1" applyAlignment="1" applyProtection="1">
      <alignment horizontal="left" vertical="center" wrapText="1"/>
      <protection hidden="1"/>
    </xf>
    <xf numFmtId="1" fontId="3" fillId="5" borderId="3" xfId="0" applyNumberFormat="1" applyFont="1" applyFill="1" applyBorder="1" applyAlignment="1" applyProtection="1">
      <alignment horizontal="left" vertical="center"/>
      <protection hidden="1"/>
    </xf>
    <xf numFmtId="1" fontId="3" fillId="5" borderId="9" xfId="0" quotePrefix="1" applyNumberFormat="1" applyFont="1" applyFill="1" applyBorder="1" applyAlignment="1">
      <alignment horizontal="left" vertical="center"/>
    </xf>
    <xf numFmtId="1" fontId="3" fillId="8" borderId="7" xfId="0" applyNumberFormat="1" applyFont="1" applyFill="1" applyBorder="1" applyAlignment="1" applyProtection="1">
      <alignment horizontal="left" vertical="center"/>
      <protection hidden="1"/>
    </xf>
    <xf numFmtId="1" fontId="3" fillId="8" borderId="0" xfId="0" applyNumberFormat="1" applyFont="1" applyFill="1" applyAlignment="1" applyProtection="1">
      <alignment horizontal="left" vertical="center"/>
      <protection hidden="1"/>
    </xf>
    <xf numFmtId="0" fontId="3" fillId="5" borderId="18" xfId="0" quotePrefix="1" applyFont="1" applyFill="1" applyBorder="1" applyAlignment="1">
      <alignment horizontal="left" vertical="center" wrapText="1"/>
    </xf>
    <xf numFmtId="1" fontId="3" fillId="8" borderId="12" xfId="0" applyNumberFormat="1" applyFont="1" applyFill="1" applyBorder="1" applyAlignment="1" applyProtection="1">
      <alignment horizontal="left" vertical="center"/>
      <protection hidden="1"/>
    </xf>
    <xf numFmtId="1" fontId="3" fillId="5" borderId="8" xfId="0" quotePrefix="1" applyNumberFormat="1" applyFont="1" applyFill="1" applyBorder="1" applyAlignment="1">
      <alignment horizontal="left" vertical="center"/>
    </xf>
    <xf numFmtId="1" fontId="3" fillId="5" borderId="44" xfId="0" quotePrefix="1" applyNumberFormat="1" applyFont="1" applyFill="1" applyBorder="1" applyAlignment="1">
      <alignment horizontal="left" vertical="center"/>
    </xf>
    <xf numFmtId="1" fontId="3" fillId="5" borderId="12" xfId="0" applyNumberFormat="1" applyFont="1" applyFill="1" applyBorder="1" applyAlignment="1" applyProtection="1">
      <alignment horizontal="left" vertical="center"/>
      <protection hidden="1"/>
    </xf>
    <xf numFmtId="1" fontId="3" fillId="5" borderId="13" xfId="0" quotePrefix="1" applyNumberFormat="1" applyFont="1" applyFill="1" applyBorder="1" applyAlignment="1">
      <alignment horizontal="left" vertical="center"/>
    </xf>
    <xf numFmtId="1" fontId="3" fillId="8" borderId="35" xfId="0" applyNumberFormat="1" applyFont="1" applyFill="1" applyBorder="1" applyAlignment="1" applyProtection="1">
      <alignment horizontal="left" vertical="center"/>
      <protection hidden="1"/>
    </xf>
    <xf numFmtId="0" fontId="3" fillId="7" borderId="41" xfId="0" applyFont="1" applyFill="1" applyBorder="1" applyAlignment="1">
      <alignment horizontal="left"/>
    </xf>
    <xf numFmtId="0" fontId="7" fillId="2" borderId="59" xfId="0" applyFont="1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3" fillId="5" borderId="68" xfId="0" applyFont="1" applyFill="1" applyBorder="1" applyAlignment="1">
      <alignment horizontal="left"/>
    </xf>
    <xf numFmtId="0" fontId="3" fillId="5" borderId="3" xfId="0" quotePrefix="1" applyFont="1" applyFill="1" applyBorder="1" applyAlignment="1">
      <alignment horizontal="left"/>
    </xf>
    <xf numFmtId="0" fontId="3" fillId="5" borderId="4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1" fontId="3" fillId="5" borderId="9" xfId="0" applyNumberFormat="1" applyFont="1" applyFill="1" applyBorder="1" applyAlignment="1" applyProtection="1">
      <alignment horizontal="left" vertical="center"/>
      <protection hidden="1"/>
    </xf>
    <xf numFmtId="0" fontId="3" fillId="5" borderId="40" xfId="0" applyFont="1" applyFill="1" applyBorder="1" applyAlignment="1">
      <alignment horizontal="left"/>
    </xf>
    <xf numFmtId="2" fontId="3" fillId="5" borderId="3" xfId="0" applyNumberFormat="1" applyFont="1" applyFill="1" applyBorder="1" applyAlignment="1">
      <alignment horizontal="left"/>
    </xf>
    <xf numFmtId="1" fontId="3" fillId="5" borderId="69" xfId="0" applyNumberFormat="1" applyFont="1" applyFill="1" applyBorder="1" applyAlignment="1">
      <alignment horizontal="left"/>
    </xf>
    <xf numFmtId="2" fontId="3" fillId="5" borderId="9" xfId="0" applyNumberFormat="1" applyFont="1" applyFill="1" applyBorder="1" applyAlignment="1" applyProtection="1">
      <alignment horizontal="left" vertical="center"/>
      <protection hidden="1"/>
    </xf>
    <xf numFmtId="2" fontId="3" fillId="5" borderId="2" xfId="0" applyNumberFormat="1" applyFont="1" applyFill="1" applyBorder="1" applyAlignment="1" applyProtection="1">
      <alignment horizontal="left" vertical="center"/>
      <protection hidden="1"/>
    </xf>
    <xf numFmtId="2" fontId="3" fillId="5" borderId="40" xfId="0" applyNumberFormat="1" applyFont="1" applyFill="1" applyBorder="1" applyAlignment="1" applyProtection="1">
      <alignment horizontal="left" vertical="center"/>
      <protection hidden="1"/>
    </xf>
    <xf numFmtId="1" fontId="3" fillId="5" borderId="70" xfId="0" applyNumberFormat="1" applyFont="1" applyFill="1" applyBorder="1" applyAlignment="1">
      <alignment horizontal="left"/>
    </xf>
    <xf numFmtId="0" fontId="5" fillId="0" borderId="74" xfId="0" applyFont="1" applyBorder="1" applyAlignment="1">
      <alignment horizontal="left"/>
    </xf>
    <xf numFmtId="0" fontId="3" fillId="5" borderId="25" xfId="0" applyFont="1" applyFill="1" applyBorder="1" applyAlignment="1">
      <alignment horizontal="left" vertical="center"/>
    </xf>
    <xf numFmtId="0" fontId="3" fillId="5" borderId="21" xfId="0" applyFont="1" applyFill="1" applyBorder="1" applyAlignment="1">
      <alignment horizontal="left" vertical="center"/>
    </xf>
    <xf numFmtId="0" fontId="7" fillId="2" borderId="21" xfId="0" quotePrefix="1" applyFont="1" applyFill="1" applyBorder="1" applyAlignment="1">
      <alignment horizontal="left" vertical="center" wrapText="1"/>
    </xf>
    <xf numFmtId="0" fontId="7" fillId="2" borderId="2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7" fillId="2" borderId="14" xfId="0" quotePrefix="1" applyFont="1" applyFill="1" applyBorder="1" applyAlignment="1">
      <alignment horizontal="left" vertical="center" wrapText="1"/>
    </xf>
    <xf numFmtId="0" fontId="7" fillId="2" borderId="16" xfId="0" applyFont="1" applyFill="1" applyBorder="1" applyAlignment="1">
      <alignment horizontal="left" vertical="center"/>
    </xf>
    <xf numFmtId="0" fontId="4" fillId="4" borderId="9" xfId="0" applyFont="1" applyFill="1" applyBorder="1" applyAlignment="1">
      <alignment horizontal="left"/>
    </xf>
    <xf numFmtId="0" fontId="4" fillId="4" borderId="9" xfId="0" quotePrefix="1" applyFont="1" applyFill="1" applyBorder="1" applyAlignment="1">
      <alignment horizontal="left" vertical="center"/>
    </xf>
    <xf numFmtId="0" fontId="4" fillId="4" borderId="9" xfId="0" applyFont="1" applyFill="1" applyBorder="1" applyAlignment="1">
      <alignment horizontal="left" vertical="center"/>
    </xf>
    <xf numFmtId="0" fontId="3" fillId="5" borderId="18" xfId="0" quotePrefix="1" applyFont="1" applyFill="1" applyBorder="1" applyAlignment="1">
      <alignment horizontal="left"/>
    </xf>
    <xf numFmtId="0" fontId="3" fillId="5" borderId="11" xfId="0" quotePrefix="1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2" borderId="1" xfId="0" quotePrefix="1" applyFont="1" applyFill="1" applyBorder="1" applyAlignment="1">
      <alignment horizontal="left" vertical="center"/>
    </xf>
    <xf numFmtId="0" fontId="2" fillId="2" borderId="2" xfId="0" quotePrefix="1" applyFont="1" applyFill="1" applyBorder="1" applyAlignment="1">
      <alignment horizontal="left" vertical="center"/>
    </xf>
    <xf numFmtId="0" fontId="3" fillId="5" borderId="9" xfId="0" applyFont="1" applyFill="1" applyBorder="1" applyAlignment="1">
      <alignment horizontal="left"/>
    </xf>
    <xf numFmtId="0" fontId="2" fillId="2" borderId="16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9" fillId="2" borderId="29" xfId="0" quotePrefix="1" applyFont="1" applyFill="1" applyBorder="1" applyAlignment="1">
      <alignment horizontal="left" vertical="center"/>
    </xf>
    <xf numFmtId="0" fontId="9" fillId="2" borderId="26" xfId="0" quotePrefix="1" applyFont="1" applyFill="1" applyBorder="1" applyAlignment="1">
      <alignment horizontal="left" vertical="center"/>
    </xf>
    <xf numFmtId="164" fontId="9" fillId="2" borderId="26" xfId="0" applyNumberFormat="1" applyFont="1" applyFill="1" applyBorder="1" applyAlignment="1">
      <alignment horizontal="left" vertical="center"/>
    </xf>
    <xf numFmtId="164" fontId="9" fillId="2" borderId="30" xfId="0" applyNumberFormat="1" applyFont="1" applyFill="1" applyBorder="1" applyAlignment="1">
      <alignment horizontal="left" vertical="center"/>
    </xf>
    <xf numFmtId="0" fontId="4" fillId="0" borderId="33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34" xfId="0" applyFont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4" fillId="0" borderId="35" xfId="0" applyFont="1" applyBorder="1" applyAlignment="1">
      <alignment horizontal="left"/>
    </xf>
    <xf numFmtId="0" fontId="4" fillId="0" borderId="38" xfId="0" applyFont="1" applyBorder="1" applyAlignment="1">
      <alignment horizontal="left"/>
    </xf>
    <xf numFmtId="0" fontId="4" fillId="7" borderId="0" xfId="0" applyFont="1" applyFill="1" applyAlignment="1">
      <alignment horizontal="left"/>
    </xf>
    <xf numFmtId="0" fontId="3" fillId="4" borderId="9" xfId="0" applyFont="1" applyFill="1" applyBorder="1" applyAlignment="1">
      <alignment horizontal="left"/>
    </xf>
    <xf numFmtId="0" fontId="3" fillId="7" borderId="0" xfId="0" applyFont="1" applyFill="1" applyAlignment="1">
      <alignment horizontal="left"/>
    </xf>
    <xf numFmtId="0" fontId="3" fillId="4" borderId="9" xfId="0" quotePrefix="1" applyFont="1" applyFill="1" applyBorder="1" applyAlignment="1">
      <alignment horizontal="left"/>
    </xf>
    <xf numFmtId="0" fontId="3" fillId="7" borderId="9" xfId="0" quotePrefix="1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4" borderId="11" xfId="0" applyFont="1" applyFill="1" applyBorder="1" applyAlignment="1">
      <alignment horizontal="left"/>
    </xf>
    <xf numFmtId="0" fontId="3" fillId="4" borderId="10" xfId="0" applyFont="1" applyFill="1" applyBorder="1" applyAlignment="1">
      <alignment horizontal="left"/>
    </xf>
    <xf numFmtId="0" fontId="3" fillId="4" borderId="39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3" fillId="5" borderId="11" xfId="0" applyFont="1" applyFill="1" applyBorder="1" applyAlignment="1">
      <alignment horizontal="left"/>
    </xf>
    <xf numFmtId="1" fontId="6" fillId="8" borderId="2" xfId="0" applyNumberFormat="1" applyFont="1" applyFill="1" applyBorder="1" applyAlignment="1" applyProtection="1">
      <alignment horizontal="left"/>
      <protection hidden="1"/>
    </xf>
    <xf numFmtId="1" fontId="6" fillId="8" borderId="11" xfId="0" applyNumberFormat="1" applyFont="1" applyFill="1" applyBorder="1" applyAlignment="1" applyProtection="1">
      <alignment horizontal="left"/>
      <protection hidden="1"/>
    </xf>
    <xf numFmtId="1" fontId="3" fillId="7" borderId="13" xfId="0" applyNumberFormat="1" applyFont="1" applyFill="1" applyBorder="1" applyAlignment="1" applyProtection="1">
      <alignment horizontal="left"/>
      <protection hidden="1"/>
    </xf>
    <xf numFmtId="1" fontId="3" fillId="7" borderId="42" xfId="0" applyNumberFormat="1" applyFont="1" applyFill="1" applyBorder="1" applyAlignment="1" applyProtection="1">
      <alignment horizontal="left"/>
      <protection hidden="1"/>
    </xf>
    <xf numFmtId="1" fontId="3" fillId="7" borderId="43" xfId="0" applyNumberFormat="1" applyFont="1" applyFill="1" applyBorder="1" applyAlignment="1" applyProtection="1">
      <alignment horizontal="left"/>
      <protection hidden="1"/>
    </xf>
    <xf numFmtId="1" fontId="3" fillId="5" borderId="40" xfId="0" applyNumberFormat="1" applyFont="1" applyFill="1" applyBorder="1" applyAlignment="1" applyProtection="1">
      <alignment horizontal="left"/>
      <protection hidden="1"/>
    </xf>
    <xf numFmtId="1" fontId="3" fillId="5" borderId="0" xfId="0" applyNumberFormat="1" applyFont="1" applyFill="1" applyAlignment="1" applyProtection="1">
      <alignment horizontal="left"/>
      <protection hidden="1"/>
    </xf>
    <xf numFmtId="1" fontId="3" fillId="5" borderId="41" xfId="0" applyNumberFormat="1" applyFont="1" applyFill="1" applyBorder="1" applyAlignment="1" applyProtection="1">
      <alignment horizontal="left"/>
      <protection hidden="1"/>
    </xf>
    <xf numFmtId="1" fontId="3" fillId="5" borderId="44" xfId="0" applyNumberFormat="1" applyFont="1" applyFill="1" applyBorder="1" applyAlignment="1" applyProtection="1">
      <alignment horizontal="left"/>
      <protection hidden="1"/>
    </xf>
    <xf numFmtId="1" fontId="3" fillId="5" borderId="35" xfId="0" applyNumberFormat="1" applyFont="1" applyFill="1" applyBorder="1" applyAlignment="1" applyProtection="1">
      <alignment horizontal="left"/>
      <protection hidden="1"/>
    </xf>
    <xf numFmtId="1" fontId="3" fillId="5" borderId="38" xfId="0" applyNumberFormat="1" applyFont="1" applyFill="1" applyBorder="1" applyAlignment="1" applyProtection="1">
      <alignment horizontal="left"/>
      <protection hidden="1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1" fontId="6" fillId="8" borderId="2" xfId="0" applyNumberFormat="1" applyFont="1" applyFill="1" applyBorder="1" applyAlignment="1">
      <alignment horizontal="left"/>
    </xf>
    <xf numFmtId="1" fontId="6" fillId="8" borderId="11" xfId="0" applyNumberFormat="1" applyFont="1" applyFill="1" applyBorder="1" applyAlignment="1">
      <alignment horizontal="left"/>
    </xf>
    <xf numFmtId="0" fontId="3" fillId="5" borderId="9" xfId="0" quotePrefix="1" applyFont="1" applyFill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1" fontId="3" fillId="8" borderId="2" xfId="0" applyNumberFormat="1" applyFont="1" applyFill="1" applyBorder="1" applyAlignment="1" applyProtection="1">
      <alignment horizontal="left"/>
      <protection hidden="1"/>
    </xf>
    <xf numFmtId="1" fontId="3" fillId="8" borderId="11" xfId="0" applyNumberFormat="1" applyFont="1" applyFill="1" applyBorder="1" applyAlignment="1" applyProtection="1">
      <alignment horizontal="left"/>
      <protection hidden="1"/>
    </xf>
    <xf numFmtId="0" fontId="4" fillId="7" borderId="14" xfId="0" applyFont="1" applyFill="1" applyBorder="1" applyAlignment="1">
      <alignment horizontal="left"/>
    </xf>
    <xf numFmtId="0" fontId="4" fillId="7" borderId="36" xfId="0" applyFont="1" applyFill="1" applyBorder="1" applyAlignment="1">
      <alignment horizontal="left"/>
    </xf>
    <xf numFmtId="0" fontId="7" fillId="2" borderId="22" xfId="0" applyFont="1" applyFill="1" applyBorder="1" applyAlignment="1">
      <alignment horizontal="left" vertical="center"/>
    </xf>
    <xf numFmtId="0" fontId="3" fillId="4" borderId="22" xfId="0" applyFont="1" applyFill="1" applyBorder="1" applyAlignment="1">
      <alignment horizontal="left" vertical="center"/>
    </xf>
    <xf numFmtId="0" fontId="3" fillId="7" borderId="45" xfId="0" applyFont="1" applyFill="1" applyBorder="1" applyAlignment="1">
      <alignment horizontal="left" vertical="center"/>
    </xf>
    <xf numFmtId="0" fontId="3" fillId="4" borderId="23" xfId="0" applyFont="1" applyFill="1" applyBorder="1" applyAlignment="1">
      <alignment horizontal="left" vertical="center"/>
    </xf>
    <xf numFmtId="0" fontId="3" fillId="4" borderId="24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left" vertical="center"/>
    </xf>
    <xf numFmtId="0" fontId="3" fillId="4" borderId="39" xfId="0" applyFont="1" applyFill="1" applyBorder="1" applyAlignment="1">
      <alignment horizontal="left" vertical="center"/>
    </xf>
    <xf numFmtId="1" fontId="3" fillId="8" borderId="22" xfId="0" applyNumberFormat="1" applyFont="1" applyFill="1" applyBorder="1" applyAlignment="1" applyProtection="1">
      <alignment horizontal="left" vertical="center"/>
      <protection hidden="1"/>
    </xf>
    <xf numFmtId="0" fontId="3" fillId="5" borderId="2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39" xfId="0" applyFont="1" applyBorder="1" applyAlignment="1">
      <alignment horizontal="left" vertical="center" wrapText="1"/>
    </xf>
    <xf numFmtId="0" fontId="3" fillId="7" borderId="42" xfId="0" applyFont="1" applyFill="1" applyBorder="1" applyAlignment="1">
      <alignment horizontal="left" vertical="center"/>
    </xf>
    <xf numFmtId="0" fontId="3" fillId="5" borderId="43" xfId="0" applyFont="1" applyFill="1" applyBorder="1" applyAlignment="1">
      <alignment horizontal="left" vertical="center"/>
    </xf>
    <xf numFmtId="0" fontId="3" fillId="5" borderId="9" xfId="0" applyFont="1" applyFill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47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41" xfId="0" applyFont="1" applyBorder="1" applyAlignment="1">
      <alignment horizontal="left" vertical="center"/>
    </xf>
    <xf numFmtId="0" fontId="3" fillId="0" borderId="44" xfId="0" applyFont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3" fillId="0" borderId="38" xfId="0" applyFont="1" applyBorder="1" applyAlignment="1">
      <alignment horizontal="left" vertical="center"/>
    </xf>
    <xf numFmtId="0" fontId="3" fillId="5" borderId="48" xfId="0" applyFont="1" applyFill="1" applyBorder="1" applyAlignment="1">
      <alignment horizontal="left" vertical="center"/>
    </xf>
    <xf numFmtId="1" fontId="4" fillId="4" borderId="2" xfId="0" applyNumberFormat="1" applyFont="1" applyFill="1" applyBorder="1" applyAlignment="1">
      <alignment horizontal="left"/>
    </xf>
    <xf numFmtId="1" fontId="4" fillId="4" borderId="10" xfId="0" applyNumberFormat="1" applyFont="1" applyFill="1" applyBorder="1" applyAlignment="1">
      <alignment horizontal="left"/>
    </xf>
    <xf numFmtId="1" fontId="4" fillId="4" borderId="11" xfId="0" applyNumberFormat="1" applyFont="1" applyFill="1" applyBorder="1" applyAlignment="1">
      <alignment horizontal="left"/>
    </xf>
    <xf numFmtId="1" fontId="3" fillId="0" borderId="3" xfId="0" applyNumberFormat="1" applyFont="1" applyBorder="1" applyAlignment="1">
      <alignment horizontal="left"/>
    </xf>
    <xf numFmtId="0" fontId="3" fillId="0" borderId="19" xfId="0" applyFont="1" applyBorder="1" applyAlignment="1">
      <alignment horizontal="left" vertical="center"/>
    </xf>
    <xf numFmtId="0" fontId="3" fillId="0" borderId="55" xfId="0" applyFont="1" applyBorder="1" applyAlignment="1">
      <alignment horizontal="left" vertical="center"/>
    </xf>
    <xf numFmtId="0" fontId="3" fillId="0" borderId="56" xfId="0" applyFont="1" applyBorder="1" applyAlignment="1">
      <alignment horizontal="left" vertical="center"/>
    </xf>
    <xf numFmtId="1" fontId="3" fillId="0" borderId="3" xfId="0" applyNumberFormat="1" applyFont="1" applyBorder="1" applyAlignment="1" applyProtection="1">
      <alignment horizontal="left"/>
      <protection hidden="1"/>
    </xf>
    <xf numFmtId="1" fontId="3" fillId="0" borderId="4" xfId="0" applyNumberFormat="1" applyFont="1" applyBorder="1" applyAlignment="1" applyProtection="1">
      <alignment horizontal="left"/>
      <protection hidden="1"/>
    </xf>
    <xf numFmtId="1" fontId="3" fillId="0" borderId="50" xfId="0" applyNumberFormat="1" applyFont="1" applyBorder="1" applyAlignment="1" applyProtection="1">
      <alignment horizontal="left"/>
      <protection hidden="1"/>
    </xf>
    <xf numFmtId="1" fontId="3" fillId="3" borderId="3" xfId="0" applyNumberFormat="1" applyFont="1" applyFill="1" applyBorder="1" applyAlignment="1">
      <alignment horizontal="left"/>
    </xf>
    <xf numFmtId="1" fontId="3" fillId="4" borderId="4" xfId="0" applyNumberFormat="1" applyFont="1" applyFill="1" applyBorder="1" applyAlignment="1">
      <alignment horizontal="left"/>
    </xf>
    <xf numFmtId="1" fontId="3" fillId="4" borderId="5" xfId="0" applyNumberFormat="1" applyFont="1" applyFill="1" applyBorder="1" applyAlignment="1">
      <alignment horizontal="left"/>
    </xf>
    <xf numFmtId="1" fontId="3" fillId="4" borderId="50" xfId="0" applyNumberFormat="1" applyFont="1" applyFill="1" applyBorder="1" applyAlignment="1">
      <alignment horizontal="left"/>
    </xf>
    <xf numFmtId="1" fontId="4" fillId="4" borderId="6" xfId="0" applyNumberFormat="1" applyFont="1" applyFill="1" applyBorder="1" applyAlignment="1">
      <alignment horizontal="left"/>
    </xf>
    <xf numFmtId="1" fontId="4" fillId="4" borderId="7" xfId="0" applyNumberFormat="1" applyFont="1" applyFill="1" applyBorder="1" applyAlignment="1">
      <alignment horizontal="left"/>
    </xf>
    <xf numFmtId="1" fontId="4" fillId="4" borderId="51" xfId="0" applyNumberFormat="1" applyFont="1" applyFill="1" applyBorder="1" applyAlignment="1">
      <alignment horizontal="left"/>
    </xf>
    <xf numFmtId="1" fontId="4" fillId="4" borderId="8" xfId="0" applyNumberFormat="1" applyFont="1" applyFill="1" applyBorder="1" applyAlignment="1">
      <alignment horizontal="left"/>
    </xf>
    <xf numFmtId="0" fontId="4" fillId="5" borderId="1" xfId="0" quotePrefix="1" applyFont="1" applyFill="1" applyBorder="1" applyAlignment="1">
      <alignment horizontal="left"/>
    </xf>
    <xf numFmtId="0" fontId="4" fillId="5" borderId="8" xfId="0" quotePrefix="1" applyFont="1" applyFill="1" applyBorder="1" applyAlignment="1">
      <alignment horizontal="left"/>
    </xf>
    <xf numFmtId="1" fontId="12" fillId="0" borderId="12" xfId="0" applyNumberFormat="1" applyFont="1" applyBorder="1" applyAlignment="1">
      <alignment horizontal="left"/>
    </xf>
    <xf numFmtId="1" fontId="12" fillId="0" borderId="49" xfId="0" applyNumberFormat="1" applyFont="1" applyBorder="1" applyAlignment="1">
      <alignment horizontal="left"/>
    </xf>
    <xf numFmtId="1" fontId="4" fillId="0" borderId="2" xfId="0" applyNumberFormat="1" applyFont="1" applyBorder="1" applyAlignment="1">
      <alignment horizontal="left"/>
    </xf>
    <xf numFmtId="1" fontId="4" fillId="0" borderId="11" xfId="0" applyNumberFormat="1" applyFont="1" applyBorder="1" applyAlignment="1">
      <alignment horizontal="left"/>
    </xf>
    <xf numFmtId="0" fontId="3" fillId="0" borderId="19" xfId="0" applyFont="1" applyBorder="1" applyAlignment="1">
      <alignment horizontal="left" vertical="center" wrapText="1"/>
    </xf>
    <xf numFmtId="0" fontId="3" fillId="0" borderId="55" xfId="0" applyFont="1" applyBorder="1" applyAlignment="1">
      <alignment horizontal="left" vertical="center" wrapText="1"/>
    </xf>
    <xf numFmtId="0" fontId="3" fillId="0" borderId="56" xfId="0" applyFont="1" applyBorder="1" applyAlignment="1">
      <alignment horizontal="left" vertical="center" wrapText="1"/>
    </xf>
    <xf numFmtId="0" fontId="3" fillId="5" borderId="57" xfId="0" quotePrefix="1" applyFont="1" applyFill="1" applyBorder="1" applyAlignment="1">
      <alignment horizontal="left"/>
    </xf>
    <xf numFmtId="0" fontId="3" fillId="0" borderId="18" xfId="0" quotePrefix="1" applyFont="1" applyBorder="1" applyAlignment="1">
      <alignment horizontal="left"/>
    </xf>
    <xf numFmtId="0" fontId="3" fillId="0" borderId="57" xfId="0" quotePrefix="1" applyFont="1" applyBorder="1" applyAlignment="1">
      <alignment horizontal="left"/>
    </xf>
    <xf numFmtId="0" fontId="4" fillId="7" borderId="0" xfId="0" applyFont="1" applyFill="1" applyAlignment="1">
      <alignment horizontal="left" vertical="center"/>
    </xf>
    <xf numFmtId="0" fontId="4" fillId="4" borderId="9" xfId="0" quotePrefix="1" applyFont="1" applyFill="1" applyBorder="1" applyAlignment="1">
      <alignment horizontal="left" vertical="center" wrapText="1"/>
    </xf>
    <xf numFmtId="1" fontId="3" fillId="8" borderId="9" xfId="0" quotePrefix="1" applyNumberFormat="1" applyFont="1" applyFill="1" applyBorder="1" applyAlignment="1" applyProtection="1">
      <alignment horizontal="left"/>
      <protection hidden="1"/>
    </xf>
    <xf numFmtId="1" fontId="3" fillId="8" borderId="9" xfId="0" applyNumberFormat="1" applyFont="1" applyFill="1" applyBorder="1" applyAlignment="1" applyProtection="1">
      <alignment horizontal="left"/>
      <protection hidden="1"/>
    </xf>
    <xf numFmtId="166" fontId="4" fillId="4" borderId="2" xfId="0" quotePrefix="1" applyNumberFormat="1" applyFont="1" applyFill="1" applyBorder="1" applyAlignment="1">
      <alignment horizontal="left" vertical="center" wrapText="1"/>
    </xf>
    <xf numFmtId="166" fontId="4" fillId="4" borderId="10" xfId="0" applyNumberFormat="1" applyFont="1" applyFill="1" applyBorder="1" applyAlignment="1">
      <alignment horizontal="left" vertical="center" wrapText="1"/>
    </xf>
    <xf numFmtId="166" fontId="4" fillId="4" borderId="11" xfId="0" applyNumberFormat="1" applyFont="1" applyFill="1" applyBorder="1" applyAlignment="1">
      <alignment horizontal="left" vertical="center" wrapText="1"/>
    </xf>
    <xf numFmtId="1" fontId="4" fillId="5" borderId="13" xfId="0" applyNumberFormat="1" applyFont="1" applyFill="1" applyBorder="1" applyAlignment="1" applyProtection="1">
      <alignment horizontal="left" vertical="center"/>
      <protection hidden="1"/>
    </xf>
    <xf numFmtId="1" fontId="4" fillId="5" borderId="42" xfId="0" applyNumberFormat="1" applyFont="1" applyFill="1" applyBorder="1" applyAlignment="1" applyProtection="1">
      <alignment horizontal="left" vertical="center"/>
      <protection hidden="1"/>
    </xf>
    <xf numFmtId="0" fontId="4" fillId="5" borderId="2" xfId="0" applyFont="1" applyFill="1" applyBorder="1" applyAlignment="1">
      <alignment horizontal="left"/>
    </xf>
    <xf numFmtId="0" fontId="4" fillId="5" borderId="11" xfId="0" applyFont="1" applyFill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47" xfId="0" applyFont="1" applyBorder="1" applyAlignment="1">
      <alignment horizontal="left"/>
    </xf>
    <xf numFmtId="0" fontId="4" fillId="0" borderId="4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41" xfId="0" applyFont="1" applyBorder="1" applyAlignment="1">
      <alignment horizontal="left"/>
    </xf>
    <xf numFmtId="0" fontId="4" fillId="0" borderId="44" xfId="0" applyFont="1" applyBorder="1" applyAlignment="1">
      <alignment horizontal="left"/>
    </xf>
    <xf numFmtId="1" fontId="4" fillId="5" borderId="9" xfId="0" quotePrefix="1" applyNumberFormat="1" applyFont="1" applyFill="1" applyBorder="1" applyAlignment="1" applyProtection="1">
      <alignment horizontal="left" vertical="center"/>
      <protection hidden="1"/>
    </xf>
    <xf numFmtId="1" fontId="4" fillId="5" borderId="9" xfId="0" applyNumberFormat="1" applyFont="1" applyFill="1" applyBorder="1" applyAlignment="1" applyProtection="1">
      <alignment horizontal="left" vertical="center"/>
      <protection hidden="1"/>
    </xf>
    <xf numFmtId="2" fontId="4" fillId="5" borderId="2" xfId="0" applyNumberFormat="1" applyFont="1" applyFill="1" applyBorder="1" applyAlignment="1">
      <alignment horizontal="left"/>
    </xf>
    <xf numFmtId="2" fontId="4" fillId="5" borderId="11" xfId="0" applyNumberFormat="1" applyFont="1" applyFill="1" applyBorder="1" applyAlignment="1">
      <alignment horizontal="left"/>
    </xf>
    <xf numFmtId="1" fontId="4" fillId="5" borderId="13" xfId="0" quotePrefix="1" applyNumberFormat="1" applyFont="1" applyFill="1" applyBorder="1" applyAlignment="1" applyProtection="1">
      <alignment horizontal="left" vertical="center"/>
      <protection hidden="1"/>
    </xf>
    <xf numFmtId="2" fontId="4" fillId="5" borderId="2" xfId="0" applyNumberFormat="1" applyFont="1" applyFill="1" applyBorder="1" applyAlignment="1" applyProtection="1">
      <alignment horizontal="left" vertical="center"/>
      <protection hidden="1"/>
    </xf>
    <xf numFmtId="2" fontId="4" fillId="5" borderId="11" xfId="0" applyNumberFormat="1" applyFont="1" applyFill="1" applyBorder="1" applyAlignment="1" applyProtection="1">
      <alignment horizontal="left" vertical="center"/>
      <protection hidden="1"/>
    </xf>
    <xf numFmtId="0" fontId="4" fillId="7" borderId="1" xfId="0" applyFont="1" applyFill="1" applyBorder="1" applyAlignment="1">
      <alignment horizontal="left"/>
    </xf>
    <xf numFmtId="0" fontId="4" fillId="7" borderId="9" xfId="0" applyFont="1" applyFill="1" applyBorder="1" applyAlignment="1">
      <alignment horizontal="left"/>
    </xf>
    <xf numFmtId="0" fontId="4" fillId="7" borderId="43" xfId="0" applyFont="1" applyFill="1" applyBorder="1" applyAlignment="1">
      <alignment horizontal="left"/>
    </xf>
    <xf numFmtId="0" fontId="3" fillId="4" borderId="59" xfId="0" quotePrefix="1" applyFont="1" applyFill="1" applyBorder="1" applyAlignment="1">
      <alignment horizontal="left" vertical="center"/>
    </xf>
    <xf numFmtId="0" fontId="3" fillId="4" borderId="59" xfId="0" applyFont="1" applyFill="1" applyBorder="1" applyAlignment="1">
      <alignment horizontal="left" vertical="center"/>
    </xf>
    <xf numFmtId="0" fontId="3" fillId="4" borderId="60" xfId="0" applyFont="1" applyFill="1" applyBorder="1" applyAlignment="1">
      <alignment horizontal="left" vertical="center"/>
    </xf>
    <xf numFmtId="0" fontId="3" fillId="4" borderId="43" xfId="0" quotePrefix="1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3" fillId="7" borderId="0" xfId="0" quotePrefix="1" applyFont="1" applyFill="1" applyAlignment="1">
      <alignment horizontal="left" vertical="center"/>
    </xf>
    <xf numFmtId="1" fontId="3" fillId="4" borderId="59" xfId="0" quotePrefix="1" applyNumberFormat="1" applyFont="1" applyFill="1" applyBorder="1" applyAlignment="1">
      <alignment horizontal="left" vertical="center"/>
    </xf>
    <xf numFmtId="1" fontId="3" fillId="4" borderId="59" xfId="0" applyNumberFormat="1" applyFont="1" applyFill="1" applyBorder="1" applyAlignment="1">
      <alignment horizontal="left" vertical="center"/>
    </xf>
    <xf numFmtId="1" fontId="3" fillId="7" borderId="0" xfId="0" quotePrefix="1" applyNumberFormat="1" applyFont="1" applyFill="1" applyAlignment="1">
      <alignment horizontal="left" vertical="center"/>
    </xf>
    <xf numFmtId="1" fontId="3" fillId="4" borderId="60" xfId="0" quotePrefix="1" applyNumberFormat="1" applyFont="1" applyFill="1" applyBorder="1" applyAlignment="1">
      <alignment horizontal="left" vertical="center"/>
    </xf>
    <xf numFmtId="1" fontId="3" fillId="4" borderId="61" xfId="0" quotePrefix="1" applyNumberFormat="1" applyFont="1" applyFill="1" applyBorder="1" applyAlignment="1">
      <alignment horizontal="left" vertical="center"/>
    </xf>
    <xf numFmtId="1" fontId="3" fillId="4" borderId="62" xfId="0" quotePrefix="1" applyNumberFormat="1" applyFont="1" applyFill="1" applyBorder="1" applyAlignment="1">
      <alignment horizontal="left" vertical="center"/>
    </xf>
    <xf numFmtId="1" fontId="3" fillId="4" borderId="44" xfId="0" quotePrefix="1" applyNumberFormat="1" applyFont="1" applyFill="1" applyBorder="1" applyAlignment="1">
      <alignment horizontal="left" vertical="center"/>
    </xf>
    <xf numFmtId="1" fontId="3" fillId="4" borderId="35" xfId="0" quotePrefix="1" applyNumberFormat="1" applyFont="1" applyFill="1" applyBorder="1" applyAlignment="1">
      <alignment horizontal="left" vertical="center"/>
    </xf>
    <xf numFmtId="1" fontId="3" fillId="4" borderId="17" xfId="0" quotePrefix="1" applyNumberFormat="1" applyFont="1" applyFill="1" applyBorder="1" applyAlignment="1">
      <alignment horizontal="left" vertical="center"/>
    </xf>
    <xf numFmtId="0" fontId="3" fillId="4" borderId="40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41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3" fillId="5" borderId="50" xfId="0" applyFont="1" applyFill="1" applyBorder="1" applyAlignment="1">
      <alignment horizontal="left" vertical="center"/>
    </xf>
    <xf numFmtId="1" fontId="3" fillId="0" borderId="2" xfId="0" applyNumberFormat="1" applyFont="1" applyBorder="1" applyAlignment="1">
      <alignment horizontal="left" vertical="center"/>
    </xf>
    <xf numFmtId="1" fontId="3" fillId="0" borderId="11" xfId="0" applyNumberFormat="1" applyFont="1" applyBorder="1" applyAlignment="1">
      <alignment horizontal="left" vertical="center"/>
    </xf>
    <xf numFmtId="0" fontId="3" fillId="5" borderId="63" xfId="0" quotePrefix="1" applyFont="1" applyFill="1" applyBorder="1" applyAlignment="1">
      <alignment horizontal="left" vertical="center" wrapText="1"/>
    </xf>
    <xf numFmtId="0" fontId="3" fillId="5" borderId="65" xfId="0" quotePrefix="1" applyFont="1" applyFill="1" applyBorder="1" applyAlignment="1">
      <alignment horizontal="left" vertical="center" wrapText="1"/>
    </xf>
    <xf numFmtId="1" fontId="3" fillId="8" borderId="64" xfId="0" applyNumberFormat="1" applyFont="1" applyFill="1" applyBorder="1" applyAlignment="1" applyProtection="1">
      <alignment horizontal="left" vertical="center"/>
      <protection hidden="1"/>
    </xf>
    <xf numFmtId="1" fontId="3" fillId="8" borderId="59" xfId="0" applyNumberFormat="1" applyFont="1" applyFill="1" applyBorder="1" applyAlignment="1" applyProtection="1">
      <alignment horizontal="left" vertical="center"/>
      <protection hidden="1"/>
    </xf>
    <xf numFmtId="1" fontId="3" fillId="10" borderId="4" xfId="0" applyNumberFormat="1" applyFont="1" applyFill="1" applyBorder="1" applyAlignment="1" applyProtection="1">
      <alignment horizontal="left" vertical="center"/>
      <protection hidden="1"/>
    </xf>
    <xf numFmtId="1" fontId="3" fillId="10" borderId="50" xfId="0" applyNumberFormat="1" applyFont="1" applyFill="1" applyBorder="1" applyAlignment="1" applyProtection="1">
      <alignment horizontal="left" vertical="center"/>
      <protection hidden="1"/>
    </xf>
    <xf numFmtId="0" fontId="3" fillId="0" borderId="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39" xfId="0" applyFont="1" applyBorder="1" applyAlignment="1">
      <alignment horizontal="left" vertical="center"/>
    </xf>
    <xf numFmtId="0" fontId="3" fillId="5" borderId="65" xfId="0" applyFont="1" applyFill="1" applyBorder="1" applyAlignment="1">
      <alignment horizontal="left" vertical="center"/>
    </xf>
    <xf numFmtId="1" fontId="3" fillId="8" borderId="12" xfId="0" applyNumberFormat="1" applyFont="1" applyFill="1" applyBorder="1" applyAlignment="1" applyProtection="1">
      <alignment horizontal="left" vertical="center"/>
      <protection hidden="1"/>
    </xf>
    <xf numFmtId="0" fontId="3" fillId="5" borderId="66" xfId="0" quotePrefix="1" applyFont="1" applyFill="1" applyBorder="1" applyAlignment="1">
      <alignment horizontal="left" vertical="center"/>
    </xf>
    <xf numFmtId="0" fontId="3" fillId="7" borderId="18" xfId="0" applyFont="1" applyFill="1" applyBorder="1" applyAlignment="1">
      <alignment horizontal="left"/>
    </xf>
    <xf numFmtId="0" fontId="3" fillId="7" borderId="10" xfId="0" applyFont="1" applyFill="1" applyBorder="1" applyAlignment="1">
      <alignment horizontal="left"/>
    </xf>
    <xf numFmtId="0" fontId="3" fillId="7" borderId="7" xfId="0" applyFont="1" applyFill="1" applyBorder="1" applyAlignment="1">
      <alignment horizontal="left"/>
    </xf>
    <xf numFmtId="0" fontId="3" fillId="7" borderId="51" xfId="0" applyFont="1" applyFill="1" applyBorder="1" applyAlignment="1">
      <alignment horizontal="left"/>
    </xf>
    <xf numFmtId="0" fontId="3" fillId="7" borderId="40" xfId="0" applyFont="1" applyFill="1" applyBorder="1" applyAlignment="1">
      <alignment horizontal="left"/>
    </xf>
    <xf numFmtId="0" fontId="7" fillId="2" borderId="67" xfId="0" quotePrefix="1" applyFont="1" applyFill="1" applyBorder="1" applyAlignment="1">
      <alignment horizontal="left"/>
    </xf>
    <xf numFmtId="0" fontId="7" fillId="2" borderId="59" xfId="0" quotePrefix="1" applyFont="1" applyFill="1" applyBorder="1" applyAlignment="1">
      <alignment horizontal="left"/>
    </xf>
    <xf numFmtId="0" fontId="3" fillId="7" borderId="49" xfId="0" applyFont="1" applyFill="1" applyBorder="1" applyAlignment="1">
      <alignment horizontal="left"/>
    </xf>
    <xf numFmtId="0" fontId="7" fillId="2" borderId="59" xfId="0" applyFont="1" applyFill="1" applyBorder="1" applyAlignment="1">
      <alignment horizontal="left"/>
    </xf>
    <xf numFmtId="0" fontId="3" fillId="4" borderId="59" xfId="0" applyFont="1" applyFill="1" applyBorder="1" applyAlignment="1">
      <alignment horizontal="left"/>
    </xf>
    <xf numFmtId="0" fontId="3" fillId="4" borderId="60" xfId="0" applyFont="1" applyFill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47" xfId="0" applyFont="1" applyBorder="1" applyAlignment="1">
      <alignment horizontal="left"/>
    </xf>
    <xf numFmtId="0" fontId="3" fillId="0" borderId="40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41" xfId="0" applyFont="1" applyBorder="1" applyAlignment="1">
      <alignment horizontal="left"/>
    </xf>
    <xf numFmtId="0" fontId="3" fillId="0" borderId="44" xfId="0" applyFont="1" applyBorder="1" applyAlignment="1">
      <alignment horizontal="left"/>
    </xf>
    <xf numFmtId="0" fontId="3" fillId="0" borderId="35" xfId="0" applyFont="1" applyBorder="1" applyAlignment="1">
      <alignment horizontal="left"/>
    </xf>
    <xf numFmtId="0" fontId="3" fillId="0" borderId="38" xfId="0" applyFont="1" applyBorder="1" applyAlignment="1">
      <alignment horizontal="left"/>
    </xf>
    <xf numFmtId="0" fontId="3" fillId="5" borderId="4" xfId="0" applyFont="1" applyFill="1" applyBorder="1" applyAlignment="1">
      <alignment horizontal="left"/>
    </xf>
    <xf numFmtId="0" fontId="3" fillId="5" borderId="50" xfId="0" applyFont="1" applyFill="1" applyBorder="1" applyAlignment="1">
      <alignment horizontal="left"/>
    </xf>
    <xf numFmtId="0" fontId="3" fillId="7" borderId="14" xfId="0" applyFont="1" applyFill="1" applyBorder="1" applyAlignment="1">
      <alignment horizontal="left"/>
    </xf>
    <xf numFmtId="0" fontId="3" fillId="7" borderId="47" xfId="0" applyFont="1" applyFill="1" applyBorder="1" applyAlignment="1">
      <alignment horizontal="left"/>
    </xf>
    <xf numFmtId="167" fontId="14" fillId="5" borderId="71" xfId="0" applyNumberFormat="1" applyFont="1" applyFill="1" applyBorder="1" applyAlignment="1">
      <alignment horizontal="left"/>
    </xf>
    <xf numFmtId="167" fontId="14" fillId="5" borderId="72" xfId="0" applyNumberFormat="1" applyFont="1" applyFill="1" applyBorder="1" applyAlignment="1">
      <alignment horizontal="left"/>
    </xf>
    <xf numFmtId="167" fontId="14" fillId="5" borderId="73" xfId="0" applyNumberFormat="1" applyFont="1" applyFill="1" applyBorder="1" applyAlignment="1">
      <alignment horizontal="left"/>
    </xf>
    <xf numFmtId="2" fontId="3" fillId="5" borderId="4" xfId="0" applyNumberFormat="1" applyFont="1" applyFill="1" applyBorder="1" applyAlignment="1">
      <alignment horizontal="left"/>
    </xf>
    <xf numFmtId="2" fontId="3" fillId="5" borderId="50" xfId="0" applyNumberFormat="1" applyFont="1" applyFill="1" applyBorder="1" applyAlignment="1">
      <alignment horizontal="left"/>
    </xf>
    <xf numFmtId="1" fontId="3" fillId="0" borderId="4" xfId="0" applyNumberFormat="1" applyFont="1" applyBorder="1" applyAlignment="1">
      <alignment horizontal="left"/>
    </xf>
    <xf numFmtId="1" fontId="3" fillId="0" borderId="50" xfId="0" applyNumberFormat="1" applyFont="1" applyBorder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%20Report\Daily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data\Plant_Performance_Files\Daily%20Report-DGM-190914-approv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%20Report\T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 "/>
      <sheetName val="Plant-Performance-new (4)"/>
      <sheetName val="Plant-Performance-new (3)"/>
      <sheetName val="Summary "/>
      <sheetName val="Report"/>
      <sheetName val="Summary-with SD"/>
      <sheetName val="Plant-Performance"/>
      <sheetName val="Material Yield Calculation"/>
      <sheetName val="Sheet3"/>
      <sheetName val="Rajesh"/>
      <sheetName val="Mat-Yield-Input"/>
      <sheetName val="perf-status"/>
      <sheetName val="Material Yield Tracker-Daily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F2" t="str">
            <v>11.06.2025</v>
          </cell>
        </row>
        <row r="9">
          <cell r="S9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Structure"/>
      <sheetName val="Copy"/>
      <sheetName val="Summary "/>
      <sheetName val="Summary-with SD"/>
      <sheetName val="Plant-Performance"/>
      <sheetName val="Material Yield Calculation"/>
      <sheetName val="Sheet1"/>
      <sheetName val="Sheet2"/>
    </sheetNames>
    <sheetDataSet>
      <sheetData sheetId="0" refreshError="1">
        <row r="37">
          <cell r="B37" t="str">
            <v>CRM PP</v>
          </cell>
          <cell r="E37" t="str">
            <v>BP</v>
          </cell>
          <cell r="F37" t="str">
            <v>Others</v>
          </cell>
          <cell r="G37" t="str">
            <v>Total</v>
          </cell>
          <cell r="H37" t="str">
            <v>Mat.Yld</v>
          </cell>
        </row>
        <row r="38">
          <cell r="B38" t="str">
            <v>On-dt (MT)</v>
          </cell>
        </row>
        <row r="39">
          <cell r="B39" t="str">
            <v>MTD (MT)</v>
          </cell>
        </row>
        <row r="40">
          <cell r="B40" t="str">
            <v>YTD (MT)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2">
          <cell r="A2">
            <v>45818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FCDCB-7B7D-43FC-AA1E-8AFD9E379442}">
  <dimension ref="A1:AD67"/>
  <sheetViews>
    <sheetView zoomScale="55" zoomScaleNormal="55" workbookViewId="0">
      <selection activeCell="G67" sqref="G67"/>
    </sheetView>
  </sheetViews>
  <sheetFormatPr defaultColWidth="9" defaultRowHeight="14" x14ac:dyDescent="0.3"/>
  <cols>
    <col min="1" max="1" width="15.1796875" style="15" customWidth="1"/>
    <col min="2" max="2" width="10.26953125" style="15" customWidth="1"/>
    <col min="3" max="3" width="12.81640625" style="15" customWidth="1"/>
    <col min="4" max="4" width="14.7265625" style="15" customWidth="1"/>
    <col min="5" max="5" width="16.7265625" style="15" customWidth="1"/>
    <col min="6" max="6" width="0.7265625" style="15" customWidth="1"/>
    <col min="7" max="7" width="9.7265625" style="15" customWidth="1"/>
    <col min="8" max="8" width="10" style="15" customWidth="1"/>
    <col min="9" max="9" width="0.81640625" style="15" customWidth="1"/>
    <col min="10" max="10" width="21" style="15" customWidth="1"/>
    <col min="11" max="11" width="0.7265625" style="15" customWidth="1"/>
    <col min="12" max="12" width="8" style="15" customWidth="1"/>
    <col min="13" max="13" width="9.54296875" style="15" customWidth="1"/>
    <col min="14" max="14" width="0.7265625" style="15" customWidth="1"/>
    <col min="15" max="15" width="15.1796875" style="15" customWidth="1"/>
    <col min="16" max="16" width="1.1796875" style="15" customWidth="1"/>
    <col min="17" max="17" width="14.81640625" style="15" customWidth="1"/>
    <col min="18" max="18" width="8" style="15" customWidth="1"/>
    <col min="19" max="19" width="10.26953125" style="15" customWidth="1"/>
    <col min="20" max="20" width="0.81640625" style="15" customWidth="1"/>
    <col min="21" max="21" width="9.1796875" style="15" customWidth="1"/>
    <col min="22" max="22" width="9" style="15"/>
    <col min="23" max="23" width="9.453125" style="15" customWidth="1"/>
    <col min="24" max="24" width="0.81640625" style="15" customWidth="1"/>
    <col min="25" max="25" width="10.26953125" style="15" customWidth="1"/>
    <col min="26" max="26" width="8.81640625" style="15" customWidth="1"/>
    <col min="27" max="27" width="9" style="15"/>
    <col min="28" max="28" width="51.81640625" style="15" customWidth="1"/>
    <col min="29" max="16384" width="9" style="15"/>
  </cols>
  <sheetData>
    <row r="1" spans="1:30" ht="23" x14ac:dyDescent="0.4">
      <c r="A1" s="28"/>
      <c r="B1" s="29"/>
      <c r="C1" s="186" t="s">
        <v>50</v>
      </c>
      <c r="D1" s="187"/>
      <c r="E1" s="187"/>
      <c r="F1" s="187"/>
      <c r="G1" s="187"/>
      <c r="H1" s="187"/>
      <c r="I1" s="187"/>
      <c r="J1" s="187"/>
      <c r="K1" s="188"/>
      <c r="L1" s="188"/>
      <c r="M1" s="188"/>
      <c r="N1" s="188"/>
      <c r="O1" s="189"/>
      <c r="P1" s="30"/>
      <c r="Q1" s="31"/>
      <c r="R1" s="32"/>
      <c r="S1" s="32"/>
      <c r="T1" s="32"/>
      <c r="U1" s="32"/>
      <c r="V1" s="33"/>
      <c r="W1" s="190"/>
      <c r="X1" s="191"/>
      <c r="Y1" s="191"/>
      <c r="Z1" s="191"/>
      <c r="AA1" s="191"/>
      <c r="AB1" s="192"/>
    </row>
    <row r="2" spans="1:30" ht="5.25" customHeight="1" x14ac:dyDescent="0.3">
      <c r="A2" s="34"/>
      <c r="B2" s="35"/>
      <c r="C2" s="35"/>
      <c r="D2" s="36"/>
      <c r="E2" s="35"/>
      <c r="F2" s="35"/>
      <c r="G2" s="35"/>
      <c r="H2" s="35"/>
      <c r="I2" s="35"/>
      <c r="J2" s="35"/>
      <c r="K2" s="35"/>
      <c r="L2" s="37"/>
      <c r="M2" s="35"/>
      <c r="N2" s="35"/>
      <c r="O2" s="38"/>
      <c r="P2" s="38"/>
      <c r="Q2" s="35"/>
      <c r="R2" s="35"/>
      <c r="S2" s="35"/>
      <c r="T2" s="35"/>
      <c r="U2" s="35"/>
      <c r="V2" s="39"/>
      <c r="W2" s="193"/>
      <c r="X2" s="194"/>
      <c r="Y2" s="194"/>
      <c r="Z2" s="194"/>
      <c r="AA2" s="194"/>
      <c r="AB2" s="195"/>
    </row>
    <row r="3" spans="1:30" ht="28" x14ac:dyDescent="0.35">
      <c r="A3" s="9"/>
      <c r="B3" s="2" t="s">
        <v>0</v>
      </c>
      <c r="C3" s="174" t="s">
        <v>1</v>
      </c>
      <c r="D3" s="175"/>
      <c r="E3" s="175" t="s">
        <v>2</v>
      </c>
      <c r="F3" s="196"/>
      <c r="G3" s="197" t="s">
        <v>3</v>
      </c>
      <c r="H3" s="197"/>
      <c r="I3" s="197"/>
      <c r="J3" s="197"/>
      <c r="K3" s="198"/>
      <c r="L3" s="199" t="s">
        <v>4</v>
      </c>
      <c r="M3" s="199"/>
      <c r="N3" s="200"/>
      <c r="O3" s="11" t="s">
        <v>5</v>
      </c>
      <c r="P3" s="201" t="s">
        <v>6</v>
      </c>
      <c r="Q3" s="202"/>
      <c r="R3" s="12" t="s">
        <v>7</v>
      </c>
      <c r="S3" s="11" t="s">
        <v>2</v>
      </c>
      <c r="T3" s="41"/>
      <c r="U3" s="201"/>
      <c r="V3" s="203"/>
      <c r="W3" s="203"/>
      <c r="X3" s="203"/>
      <c r="Y3" s="203"/>
      <c r="Z3" s="203"/>
      <c r="AA3" s="203"/>
      <c r="AB3" s="204"/>
    </row>
    <row r="4" spans="1:30" ht="15" customHeight="1" x14ac:dyDescent="0.35">
      <c r="A4" s="184" t="s">
        <v>51</v>
      </c>
      <c r="B4" s="185"/>
      <c r="C4" s="10" t="s">
        <v>8</v>
      </c>
      <c r="D4" s="10" t="s">
        <v>6</v>
      </c>
      <c r="E4" s="175"/>
      <c r="F4" s="196"/>
      <c r="G4" s="170" t="s">
        <v>9</v>
      </c>
      <c r="H4" s="205"/>
      <c r="I4" s="206"/>
      <c r="J4" s="44" t="s">
        <v>52</v>
      </c>
      <c r="K4" s="198"/>
      <c r="L4" s="183" t="s">
        <v>10</v>
      </c>
      <c r="M4" s="183"/>
      <c r="N4" s="200"/>
      <c r="O4" s="44" t="s">
        <v>53</v>
      </c>
      <c r="P4" s="207" t="s">
        <v>54</v>
      </c>
      <c r="Q4" s="208"/>
      <c r="R4" s="45">
        <v>0</v>
      </c>
      <c r="S4" s="44" t="s">
        <v>55</v>
      </c>
      <c r="T4" s="209"/>
      <c r="U4" s="212"/>
      <c r="V4" s="213"/>
      <c r="W4" s="213"/>
      <c r="X4" s="213"/>
      <c r="Y4" s="213"/>
      <c r="Z4" s="213"/>
      <c r="AA4" s="213"/>
      <c r="AB4" s="214"/>
      <c r="AC4" s="47"/>
      <c r="AD4" s="15" t="s">
        <v>56</v>
      </c>
    </row>
    <row r="5" spans="1:30" ht="15" customHeight="1" x14ac:dyDescent="0.35">
      <c r="A5" s="169" t="s">
        <v>11</v>
      </c>
      <c r="B5" s="183"/>
      <c r="C5" s="48" t="s">
        <v>57</v>
      </c>
      <c r="D5" s="44" t="s">
        <v>58</v>
      </c>
      <c r="E5" s="48" t="s">
        <v>59</v>
      </c>
      <c r="F5" s="196"/>
      <c r="G5" s="170" t="s">
        <v>12</v>
      </c>
      <c r="H5" s="205"/>
      <c r="I5" s="206"/>
      <c r="J5" s="44">
        <v>718</v>
      </c>
      <c r="K5" s="198"/>
      <c r="L5" s="222" t="s">
        <v>13</v>
      </c>
      <c r="M5" s="222"/>
      <c r="N5" s="200"/>
      <c r="O5" s="44" t="s">
        <v>60</v>
      </c>
      <c r="P5" s="207" t="s">
        <v>61</v>
      </c>
      <c r="Q5" s="208"/>
      <c r="R5" s="45">
        <v>0</v>
      </c>
      <c r="S5" s="44" t="s">
        <v>62</v>
      </c>
      <c r="T5" s="210"/>
      <c r="U5" s="212"/>
      <c r="V5" s="213"/>
      <c r="W5" s="213"/>
      <c r="X5" s="213"/>
      <c r="Y5" s="213"/>
      <c r="Z5" s="213"/>
      <c r="AA5" s="213"/>
      <c r="AB5" s="214"/>
      <c r="AC5" s="44"/>
      <c r="AD5" s="15" t="s">
        <v>63</v>
      </c>
    </row>
    <row r="6" spans="1:30" ht="15" customHeight="1" x14ac:dyDescent="0.35">
      <c r="A6" s="169" t="s">
        <v>14</v>
      </c>
      <c r="B6" s="183"/>
      <c r="C6" s="47">
        <v>0</v>
      </c>
      <c r="D6" s="47">
        <v>0</v>
      </c>
      <c r="E6" s="47">
        <v>0</v>
      </c>
      <c r="F6" s="196"/>
      <c r="G6" s="223" t="s">
        <v>15</v>
      </c>
      <c r="H6" s="223"/>
      <c r="I6" s="224"/>
      <c r="J6" s="44">
        <v>716</v>
      </c>
      <c r="K6" s="198"/>
      <c r="L6" s="183" t="s">
        <v>16</v>
      </c>
      <c r="M6" s="183"/>
      <c r="N6" s="200"/>
      <c r="O6" s="44" t="s">
        <v>64</v>
      </c>
      <c r="P6" s="207" t="s">
        <v>65</v>
      </c>
      <c r="Q6" s="208"/>
      <c r="R6" s="45">
        <v>0</v>
      </c>
      <c r="S6" s="44" t="s">
        <v>66</v>
      </c>
      <c r="T6" s="210"/>
      <c r="U6" s="212"/>
      <c r="V6" s="213"/>
      <c r="W6" s="213"/>
      <c r="X6" s="213"/>
      <c r="Y6" s="213"/>
      <c r="Z6" s="213"/>
      <c r="AA6" s="213"/>
      <c r="AB6" s="214"/>
      <c r="AC6" s="49"/>
      <c r="AD6" s="15" t="s">
        <v>67</v>
      </c>
    </row>
    <row r="7" spans="1:30" ht="15" customHeight="1" x14ac:dyDescent="0.35">
      <c r="A7" s="169" t="s">
        <v>17</v>
      </c>
      <c r="B7" s="183"/>
      <c r="C7" s="48" t="s">
        <v>68</v>
      </c>
      <c r="D7" s="48" t="s">
        <v>69</v>
      </c>
      <c r="E7" s="44" t="s">
        <v>70</v>
      </c>
      <c r="F7" s="196"/>
      <c r="G7" s="170" t="s">
        <v>18</v>
      </c>
      <c r="H7" s="205"/>
      <c r="I7" s="206"/>
      <c r="J7" s="50" t="s">
        <v>71</v>
      </c>
      <c r="K7" s="198"/>
      <c r="L7" s="183" t="s">
        <v>19</v>
      </c>
      <c r="M7" s="183"/>
      <c r="N7" s="200"/>
      <c r="O7" s="44" t="s">
        <v>72</v>
      </c>
      <c r="P7" s="207" t="s">
        <v>73</v>
      </c>
      <c r="Q7" s="208"/>
      <c r="R7" s="45">
        <v>0</v>
      </c>
      <c r="S7" s="44" t="s">
        <v>74</v>
      </c>
      <c r="T7" s="210"/>
      <c r="U7" s="212"/>
      <c r="V7" s="213"/>
      <c r="W7" s="213"/>
      <c r="X7" s="213"/>
      <c r="Y7" s="213"/>
      <c r="Z7" s="213"/>
      <c r="AA7" s="213"/>
      <c r="AB7" s="214"/>
    </row>
    <row r="8" spans="1:30" ht="15" customHeight="1" x14ac:dyDescent="0.35">
      <c r="A8" s="176" t="s">
        <v>20</v>
      </c>
      <c r="B8" s="177"/>
      <c r="C8" s="51">
        <v>0</v>
      </c>
      <c r="D8" s="52">
        <v>0</v>
      </c>
      <c r="E8" s="53">
        <v>0</v>
      </c>
      <c r="F8" s="196"/>
      <c r="G8" s="170" t="s">
        <v>21</v>
      </c>
      <c r="H8" s="205"/>
      <c r="I8" s="43"/>
      <c r="J8" s="44">
        <v>717</v>
      </c>
      <c r="K8" s="198"/>
      <c r="L8" s="218" t="s">
        <v>22</v>
      </c>
      <c r="M8" s="219"/>
      <c r="N8" s="200"/>
      <c r="O8" s="54" t="s">
        <v>75</v>
      </c>
      <c r="P8" s="220" t="s">
        <v>76</v>
      </c>
      <c r="Q8" s="221"/>
      <c r="R8" s="56">
        <v>0</v>
      </c>
      <c r="S8" s="55" t="s">
        <v>77</v>
      </c>
      <c r="T8" s="210"/>
      <c r="U8" s="212"/>
      <c r="V8" s="213"/>
      <c r="W8" s="213"/>
      <c r="X8" s="213"/>
      <c r="Y8" s="213"/>
      <c r="Z8" s="213"/>
      <c r="AA8" s="213"/>
      <c r="AB8" s="214"/>
    </row>
    <row r="9" spans="1:30" ht="15" customHeight="1" x14ac:dyDescent="0.35">
      <c r="A9" s="4"/>
      <c r="B9" s="5"/>
      <c r="C9" s="5"/>
      <c r="D9" s="13"/>
      <c r="E9" s="14"/>
      <c r="F9" s="26"/>
      <c r="G9" s="8" t="s">
        <v>23</v>
      </c>
      <c r="H9" s="42"/>
      <c r="I9" s="43"/>
      <c r="J9" s="57">
        <f>SUM(J4:J8)</f>
        <v>2151</v>
      </c>
      <c r="K9" s="40"/>
      <c r="L9" s="183" t="s">
        <v>23</v>
      </c>
      <c r="M9" s="183"/>
      <c r="N9" s="58"/>
      <c r="O9" s="48">
        <f>SUM(O4,O5,O6,O7,O8)</f>
        <v>0</v>
      </c>
      <c r="P9" s="225">
        <f>SUM(P4,P5,P6,P7,P8)</f>
        <v>0</v>
      </c>
      <c r="Q9" s="226"/>
      <c r="R9" s="47">
        <f>[1]Report!S9</f>
        <v>0</v>
      </c>
      <c r="S9" s="59">
        <f>SUM(S4:S8)</f>
        <v>0</v>
      </c>
      <c r="T9" s="211"/>
      <c r="U9" s="215"/>
      <c r="V9" s="216"/>
      <c r="W9" s="216"/>
      <c r="X9" s="216"/>
      <c r="Y9" s="216"/>
      <c r="Z9" s="216"/>
      <c r="AA9" s="216"/>
      <c r="AB9" s="217"/>
    </row>
    <row r="10" spans="1:30" ht="6.75" customHeight="1" x14ac:dyDescent="0.3">
      <c r="A10" s="227"/>
      <c r="B10" s="196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228"/>
      <c r="W10" s="26"/>
      <c r="X10" s="26"/>
      <c r="Y10" s="26"/>
      <c r="Z10" s="26"/>
      <c r="AA10" s="26"/>
      <c r="AB10" s="60"/>
    </row>
    <row r="11" spans="1:30" ht="15.5" x14ac:dyDescent="0.3">
      <c r="A11" s="167" t="s">
        <v>24</v>
      </c>
      <c r="B11" s="229"/>
      <c r="C11" s="230" t="s">
        <v>25</v>
      </c>
      <c r="D11" s="230"/>
      <c r="E11" s="230"/>
      <c r="F11" s="231"/>
      <c r="G11" s="230" t="s">
        <v>26</v>
      </c>
      <c r="H11" s="230"/>
      <c r="I11" s="230"/>
      <c r="J11" s="230"/>
      <c r="K11" s="61"/>
      <c r="L11" s="230" t="s">
        <v>27</v>
      </c>
      <c r="M11" s="230"/>
      <c r="N11" s="230"/>
      <c r="O11" s="230"/>
      <c r="P11" s="62"/>
      <c r="Q11" s="232" t="s">
        <v>28</v>
      </c>
      <c r="R11" s="233"/>
      <c r="S11" s="233"/>
      <c r="T11" s="63"/>
      <c r="U11" s="234" t="s">
        <v>78</v>
      </c>
      <c r="V11" s="235"/>
      <c r="W11" s="235"/>
      <c r="X11" s="235"/>
      <c r="Y11" s="235"/>
      <c r="Z11" s="235"/>
      <c r="AA11" s="235"/>
      <c r="AB11" s="236"/>
    </row>
    <row r="12" spans="1:30" ht="15" customHeight="1" x14ac:dyDescent="0.3">
      <c r="A12" s="168"/>
      <c r="B12" s="229"/>
      <c r="C12" s="27" t="s">
        <v>8</v>
      </c>
      <c r="D12" s="27" t="s">
        <v>6</v>
      </c>
      <c r="E12" s="27" t="s">
        <v>7</v>
      </c>
      <c r="F12" s="231"/>
      <c r="G12" s="27" t="s">
        <v>8</v>
      </c>
      <c r="H12" s="27" t="s">
        <v>6</v>
      </c>
      <c r="I12" s="238" t="s">
        <v>7</v>
      </c>
      <c r="J12" s="238"/>
      <c r="K12" s="61"/>
      <c r="L12" s="27" t="s">
        <v>8</v>
      </c>
      <c r="M12" s="27" t="s">
        <v>6</v>
      </c>
      <c r="N12" s="238" t="s">
        <v>7</v>
      </c>
      <c r="O12" s="238"/>
      <c r="P12" s="64"/>
      <c r="Q12" s="27" t="s">
        <v>8</v>
      </c>
      <c r="R12" s="27" t="s">
        <v>6</v>
      </c>
      <c r="S12" s="65" t="s">
        <v>7</v>
      </c>
      <c r="T12" s="242"/>
      <c r="U12" s="243" t="s">
        <v>79</v>
      </c>
      <c r="V12" s="245" t="s">
        <v>80</v>
      </c>
      <c r="W12" s="246"/>
      <c r="X12" s="246"/>
      <c r="Y12" s="246"/>
      <c r="Z12" s="246"/>
      <c r="AA12" s="246"/>
      <c r="AB12" s="247"/>
    </row>
    <row r="13" spans="1:30" ht="15" customHeight="1" x14ac:dyDescent="0.3">
      <c r="A13" s="166" t="s">
        <v>29</v>
      </c>
      <c r="B13" s="238"/>
      <c r="C13" s="66">
        <v>801</v>
      </c>
      <c r="D13" s="66">
        <v>831</v>
      </c>
      <c r="E13" s="66">
        <v>861</v>
      </c>
      <c r="F13" s="231"/>
      <c r="G13" s="66" t="s">
        <v>81</v>
      </c>
      <c r="H13" s="66" t="s">
        <v>82</v>
      </c>
      <c r="I13" s="237" t="s">
        <v>83</v>
      </c>
      <c r="J13" s="237"/>
      <c r="K13" s="61"/>
      <c r="L13" s="66" t="s">
        <v>84</v>
      </c>
      <c r="M13" s="66" t="s">
        <v>85</v>
      </c>
      <c r="N13" s="237" t="s">
        <v>86</v>
      </c>
      <c r="O13" s="237"/>
      <c r="P13" s="67"/>
      <c r="Q13" s="68" t="s">
        <v>87</v>
      </c>
      <c r="R13" s="68" t="s">
        <v>88</v>
      </c>
      <c r="S13" s="68" t="s">
        <v>89</v>
      </c>
      <c r="T13" s="242"/>
      <c r="U13" s="244"/>
      <c r="V13" s="248"/>
      <c r="W13" s="249"/>
      <c r="X13" s="249"/>
      <c r="Y13" s="249"/>
      <c r="Z13" s="249"/>
      <c r="AA13" s="249"/>
      <c r="AB13" s="250"/>
    </row>
    <row r="14" spans="1:30" ht="15.5" x14ac:dyDescent="0.3">
      <c r="A14" s="165" t="s">
        <v>30</v>
      </c>
      <c r="B14" s="254"/>
      <c r="C14" s="66">
        <v>811</v>
      </c>
      <c r="D14" s="66">
        <v>841</v>
      </c>
      <c r="E14" s="66">
        <v>871</v>
      </c>
      <c r="F14" s="231"/>
      <c r="G14" s="66" t="s">
        <v>90</v>
      </c>
      <c r="H14" s="66" t="s">
        <v>91</v>
      </c>
      <c r="I14" s="237" t="s">
        <v>92</v>
      </c>
      <c r="J14" s="237"/>
      <c r="K14" s="61"/>
      <c r="L14" s="66" t="s">
        <v>93</v>
      </c>
      <c r="M14" s="66" t="s">
        <v>94</v>
      </c>
      <c r="N14" s="237" t="s">
        <v>95</v>
      </c>
      <c r="O14" s="237"/>
      <c r="P14" s="67"/>
      <c r="Q14" s="68" t="s">
        <v>96</v>
      </c>
      <c r="R14" s="68" t="s">
        <v>97</v>
      </c>
      <c r="S14" s="68" t="s">
        <v>98</v>
      </c>
      <c r="T14" s="242"/>
      <c r="U14" s="244"/>
      <c r="V14" s="251"/>
      <c r="W14" s="252"/>
      <c r="X14" s="252"/>
      <c r="Y14" s="252"/>
      <c r="Z14" s="252"/>
      <c r="AA14" s="252"/>
      <c r="AB14" s="253"/>
    </row>
    <row r="15" spans="1:30" ht="30.75" customHeight="1" x14ac:dyDescent="0.3">
      <c r="A15" s="166" t="s">
        <v>31</v>
      </c>
      <c r="B15" s="238"/>
      <c r="C15" s="66">
        <v>821</v>
      </c>
      <c r="D15" s="66">
        <v>851</v>
      </c>
      <c r="E15" s="66">
        <v>881</v>
      </c>
      <c r="F15" s="231"/>
      <c r="G15" s="66" t="s">
        <v>99</v>
      </c>
      <c r="H15" s="66" t="s">
        <v>100</v>
      </c>
      <c r="I15" s="237" t="s">
        <v>101</v>
      </c>
      <c r="J15" s="237"/>
      <c r="K15" s="61"/>
      <c r="L15" s="66" t="s">
        <v>102</v>
      </c>
      <c r="M15" s="66" t="s">
        <v>103</v>
      </c>
      <c r="N15" s="237" t="s">
        <v>104</v>
      </c>
      <c r="O15" s="237"/>
      <c r="P15" s="69"/>
      <c r="Q15" s="68" t="s">
        <v>105</v>
      </c>
      <c r="R15" s="68" t="s">
        <v>106</v>
      </c>
      <c r="S15" s="68" t="s">
        <v>107</v>
      </c>
      <c r="T15" s="242"/>
      <c r="U15" s="70" t="s">
        <v>108</v>
      </c>
      <c r="V15" s="239" t="s">
        <v>109</v>
      </c>
      <c r="W15" s="240"/>
      <c r="X15" s="240"/>
      <c r="Y15" s="240"/>
      <c r="Z15" s="240"/>
      <c r="AA15" s="240"/>
      <c r="AB15" s="241"/>
    </row>
    <row r="16" spans="1:30" ht="6" customHeight="1" x14ac:dyDescent="0.3">
      <c r="A16" s="227"/>
      <c r="B16" s="196"/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228"/>
      <c r="W16" s="26"/>
      <c r="X16" s="26"/>
      <c r="Y16" s="26"/>
      <c r="Z16" s="26"/>
      <c r="AA16" s="26"/>
      <c r="AB16" s="60"/>
    </row>
    <row r="17" spans="1:28" ht="15.5" x14ac:dyDescent="0.35">
      <c r="A17" s="181" t="s">
        <v>32</v>
      </c>
      <c r="B17" s="182"/>
      <c r="C17" s="265" t="s">
        <v>33</v>
      </c>
      <c r="D17" s="265"/>
      <c r="E17" s="265"/>
      <c r="F17" s="71"/>
      <c r="G17" s="265" t="s">
        <v>34</v>
      </c>
      <c r="H17" s="265"/>
      <c r="I17" s="265"/>
      <c r="J17" s="265"/>
      <c r="K17" s="72"/>
      <c r="L17" s="266" t="s">
        <v>35</v>
      </c>
      <c r="M17" s="267"/>
      <c r="N17" s="267"/>
      <c r="O17" s="268"/>
      <c r="P17" s="73"/>
      <c r="Q17" s="269" t="s">
        <v>36</v>
      </c>
      <c r="R17" s="270"/>
      <c r="S17" s="271"/>
      <c r="T17" s="74"/>
      <c r="U17" s="272" t="s">
        <v>37</v>
      </c>
      <c r="V17" s="270"/>
      <c r="W17" s="270"/>
      <c r="X17" s="75"/>
      <c r="Y17" s="255" t="s">
        <v>38</v>
      </c>
      <c r="Z17" s="256"/>
      <c r="AA17" s="257"/>
      <c r="AB17" s="76" t="s">
        <v>78</v>
      </c>
    </row>
    <row r="18" spans="1:28" ht="15.5" x14ac:dyDescent="0.35">
      <c r="A18" s="181"/>
      <c r="B18" s="182"/>
      <c r="C18" s="77" t="s">
        <v>8</v>
      </c>
      <c r="D18" s="77" t="s">
        <v>6</v>
      </c>
      <c r="E18" s="77" t="s">
        <v>7</v>
      </c>
      <c r="F18" s="71"/>
      <c r="G18" s="77" t="s">
        <v>8</v>
      </c>
      <c r="H18" s="77" t="s">
        <v>6</v>
      </c>
      <c r="I18" s="258" t="s">
        <v>7</v>
      </c>
      <c r="J18" s="258"/>
      <c r="K18" s="72"/>
      <c r="L18" s="78" t="s">
        <v>8</v>
      </c>
      <c r="M18" s="78" t="s">
        <v>6</v>
      </c>
      <c r="N18" s="79"/>
      <c r="O18" s="80" t="s">
        <v>7</v>
      </c>
      <c r="P18" s="81"/>
      <c r="Q18" s="82" t="s">
        <v>8</v>
      </c>
      <c r="R18" s="83" t="s">
        <v>6</v>
      </c>
      <c r="S18" s="83" t="s">
        <v>7</v>
      </c>
      <c r="T18" s="84"/>
      <c r="U18" s="22" t="s">
        <v>8</v>
      </c>
      <c r="V18" s="85" t="s">
        <v>6</v>
      </c>
      <c r="W18" s="85" t="s">
        <v>7</v>
      </c>
      <c r="X18" s="75"/>
      <c r="Y18" s="22" t="s">
        <v>8</v>
      </c>
      <c r="Z18" s="85" t="s">
        <v>6</v>
      </c>
      <c r="AA18" s="85" t="s">
        <v>7</v>
      </c>
      <c r="AB18" s="259" t="s">
        <v>110</v>
      </c>
    </row>
    <row r="19" spans="1:28" ht="15" customHeight="1" x14ac:dyDescent="0.35">
      <c r="A19" s="169" t="s">
        <v>111</v>
      </c>
      <c r="B19" s="170"/>
      <c r="C19" s="86">
        <v>301</v>
      </c>
      <c r="D19" s="86">
        <v>401</v>
      </c>
      <c r="E19" s="86">
        <v>501</v>
      </c>
      <c r="F19" s="71"/>
      <c r="G19" s="86">
        <v>302</v>
      </c>
      <c r="H19" s="86">
        <v>402</v>
      </c>
      <c r="I19" s="262">
        <v>502</v>
      </c>
      <c r="J19" s="262"/>
      <c r="K19" s="72"/>
      <c r="L19" s="86">
        <v>303</v>
      </c>
      <c r="M19" s="86">
        <v>403</v>
      </c>
      <c r="N19" s="87"/>
      <c r="O19" s="88">
        <v>503</v>
      </c>
      <c r="P19" s="46"/>
      <c r="Q19" s="89">
        <v>304</v>
      </c>
      <c r="R19" s="89">
        <v>404</v>
      </c>
      <c r="S19" s="90">
        <v>504</v>
      </c>
      <c r="T19" s="91"/>
      <c r="U19" s="86"/>
      <c r="V19" s="89"/>
      <c r="W19" s="89"/>
      <c r="X19" s="92"/>
      <c r="Y19" s="89"/>
      <c r="Z19" s="89"/>
      <c r="AA19" s="89"/>
      <c r="AB19" s="260"/>
    </row>
    <row r="20" spans="1:28" ht="15" customHeight="1" x14ac:dyDescent="0.35">
      <c r="A20" s="179" t="s">
        <v>39</v>
      </c>
      <c r="B20" s="180"/>
      <c r="C20" s="93">
        <v>305</v>
      </c>
      <c r="D20" s="93">
        <v>405</v>
      </c>
      <c r="E20" s="94">
        <v>505</v>
      </c>
      <c r="F20" s="71"/>
      <c r="G20" s="95">
        <v>306</v>
      </c>
      <c r="H20" s="95">
        <v>406</v>
      </c>
      <c r="I20" s="263">
        <f>H20+100</f>
        <v>506</v>
      </c>
      <c r="J20" s="264"/>
      <c r="K20" s="72"/>
      <c r="L20" s="95">
        <v>307</v>
      </c>
      <c r="M20" s="95">
        <v>407</v>
      </c>
      <c r="N20" s="87"/>
      <c r="O20" s="88">
        <f>M20+100</f>
        <v>507</v>
      </c>
      <c r="P20" s="46"/>
      <c r="Q20" s="96">
        <v>308</v>
      </c>
      <c r="R20" s="96">
        <v>408</v>
      </c>
      <c r="S20" s="90">
        <f>R20+100</f>
        <v>508</v>
      </c>
      <c r="T20" s="91"/>
      <c r="U20" s="96"/>
      <c r="V20" s="96"/>
      <c r="W20" s="89"/>
      <c r="X20" s="92"/>
      <c r="Y20" s="96"/>
      <c r="Z20" s="96"/>
      <c r="AA20" s="89"/>
      <c r="AB20" s="260"/>
    </row>
    <row r="21" spans="1:28" ht="15" customHeight="1" x14ac:dyDescent="0.35">
      <c r="A21" s="169" t="s">
        <v>112</v>
      </c>
      <c r="B21" s="170"/>
      <c r="C21" s="86">
        <v>309</v>
      </c>
      <c r="D21" s="86">
        <v>409</v>
      </c>
      <c r="E21" s="86">
        <f>D21+100</f>
        <v>509</v>
      </c>
      <c r="F21" s="71"/>
      <c r="G21" s="86">
        <v>310</v>
      </c>
      <c r="H21" s="86">
        <v>410</v>
      </c>
      <c r="I21" s="263">
        <f t="shared" ref="I21:I33" si="0">H21+100</f>
        <v>510</v>
      </c>
      <c r="J21" s="264"/>
      <c r="K21" s="72"/>
      <c r="L21" s="86">
        <v>311</v>
      </c>
      <c r="M21" s="86">
        <v>411</v>
      </c>
      <c r="N21" s="97"/>
      <c r="O21" s="88">
        <f t="shared" ref="O21:O33" si="1">M21+100</f>
        <v>511</v>
      </c>
      <c r="P21" s="46"/>
      <c r="Q21" s="89">
        <v>312</v>
      </c>
      <c r="R21" s="89">
        <v>412</v>
      </c>
      <c r="S21" s="90">
        <f t="shared" ref="S21:S33" si="2">R21+100</f>
        <v>512</v>
      </c>
      <c r="T21" s="91"/>
      <c r="U21" s="89"/>
      <c r="V21" s="89"/>
      <c r="W21" s="89"/>
      <c r="X21" s="92"/>
      <c r="Y21" s="89"/>
      <c r="Z21" s="89"/>
      <c r="AA21" s="89"/>
      <c r="AB21" s="260"/>
    </row>
    <row r="22" spans="1:28" ht="15" customHeight="1" x14ac:dyDescent="0.35">
      <c r="A22" s="169" t="s">
        <v>113</v>
      </c>
      <c r="B22" s="170"/>
      <c r="C22" s="86">
        <v>313</v>
      </c>
      <c r="D22" s="86">
        <v>413</v>
      </c>
      <c r="E22" s="86">
        <f t="shared" ref="E22:E33" si="3">D22+100</f>
        <v>513</v>
      </c>
      <c r="F22" s="71"/>
      <c r="G22" s="86">
        <v>314</v>
      </c>
      <c r="H22" s="86">
        <v>414</v>
      </c>
      <c r="I22" s="263">
        <f t="shared" si="0"/>
        <v>514</v>
      </c>
      <c r="J22" s="264"/>
      <c r="K22" s="72"/>
      <c r="L22" s="86">
        <v>315</v>
      </c>
      <c r="M22" s="86">
        <v>415</v>
      </c>
      <c r="N22" s="87"/>
      <c r="O22" s="88">
        <f t="shared" si="1"/>
        <v>515</v>
      </c>
      <c r="P22" s="46"/>
      <c r="Q22" s="86">
        <v>316</v>
      </c>
      <c r="R22" s="86">
        <v>416</v>
      </c>
      <c r="S22" s="90">
        <f t="shared" si="2"/>
        <v>516</v>
      </c>
      <c r="T22" s="91"/>
      <c r="U22" s="86">
        <v>317</v>
      </c>
      <c r="V22" s="86">
        <v>417</v>
      </c>
      <c r="W22" s="89">
        <f>V22+100</f>
        <v>517</v>
      </c>
      <c r="X22" s="92"/>
      <c r="Y22" s="86">
        <v>318</v>
      </c>
      <c r="Z22" s="86">
        <v>418</v>
      </c>
      <c r="AA22" s="89">
        <f>Z22+100</f>
        <v>518</v>
      </c>
      <c r="AB22" s="260"/>
    </row>
    <row r="23" spans="1:28" ht="15" customHeight="1" x14ac:dyDescent="0.35">
      <c r="A23" s="169" t="s">
        <v>40</v>
      </c>
      <c r="B23" s="170"/>
      <c r="C23" s="95">
        <v>319</v>
      </c>
      <c r="D23" s="95">
        <v>419</v>
      </c>
      <c r="E23" s="86">
        <f t="shared" si="3"/>
        <v>519</v>
      </c>
      <c r="F23" s="71"/>
      <c r="G23" s="95">
        <v>320</v>
      </c>
      <c r="H23" s="95">
        <v>420</v>
      </c>
      <c r="I23" s="263">
        <f t="shared" si="0"/>
        <v>520</v>
      </c>
      <c r="J23" s="264"/>
      <c r="K23" s="72"/>
      <c r="L23" s="96">
        <v>321</v>
      </c>
      <c r="M23" s="96">
        <v>421</v>
      </c>
      <c r="N23" s="87"/>
      <c r="O23" s="88">
        <f t="shared" si="1"/>
        <v>521</v>
      </c>
      <c r="P23" s="46"/>
      <c r="Q23" s="96">
        <v>322</v>
      </c>
      <c r="R23" s="96">
        <v>422</v>
      </c>
      <c r="S23" s="90">
        <f t="shared" si="2"/>
        <v>522</v>
      </c>
      <c r="T23" s="91"/>
      <c r="U23" s="96">
        <v>323</v>
      </c>
      <c r="V23" s="96">
        <v>423</v>
      </c>
      <c r="W23" s="89">
        <f t="shared" ref="W23:W32" si="4">V23+100</f>
        <v>523</v>
      </c>
      <c r="X23" s="92"/>
      <c r="Y23" s="96">
        <v>324</v>
      </c>
      <c r="Z23" s="96">
        <v>424</v>
      </c>
      <c r="AA23" s="89">
        <f t="shared" ref="AA23:AA32" si="5">Z23+100</f>
        <v>524</v>
      </c>
      <c r="AB23" s="260"/>
    </row>
    <row r="24" spans="1:28" ht="15" customHeight="1" x14ac:dyDescent="0.35">
      <c r="A24" s="169" t="s">
        <v>41</v>
      </c>
      <c r="B24" s="170"/>
      <c r="C24" s="98">
        <v>325</v>
      </c>
      <c r="D24" s="98">
        <v>425</v>
      </c>
      <c r="E24" s="86">
        <f t="shared" si="3"/>
        <v>525</v>
      </c>
      <c r="F24" s="71"/>
      <c r="G24" s="98">
        <v>326</v>
      </c>
      <c r="H24" s="98">
        <v>426</v>
      </c>
      <c r="I24" s="263">
        <f t="shared" si="0"/>
        <v>526</v>
      </c>
      <c r="J24" s="264"/>
      <c r="K24" s="72"/>
      <c r="L24" s="98">
        <v>327</v>
      </c>
      <c r="M24" s="98">
        <v>427</v>
      </c>
      <c r="N24" s="87"/>
      <c r="O24" s="88">
        <f t="shared" si="1"/>
        <v>527</v>
      </c>
      <c r="P24" s="46"/>
      <c r="Q24" s="96">
        <v>328</v>
      </c>
      <c r="R24" s="96">
        <v>428</v>
      </c>
      <c r="S24" s="90">
        <f t="shared" si="2"/>
        <v>528</v>
      </c>
      <c r="T24" s="91"/>
      <c r="U24" s="99">
        <v>329</v>
      </c>
      <c r="V24" s="99">
        <v>429</v>
      </c>
      <c r="W24" s="89">
        <f t="shared" si="4"/>
        <v>529</v>
      </c>
      <c r="X24" s="92"/>
      <c r="Y24" s="96">
        <v>330</v>
      </c>
      <c r="Z24" s="96">
        <v>430</v>
      </c>
      <c r="AA24" s="89">
        <f t="shared" si="5"/>
        <v>530</v>
      </c>
      <c r="AB24" s="260"/>
    </row>
    <row r="25" spans="1:28" ht="15" customHeight="1" x14ac:dyDescent="0.35">
      <c r="A25" s="23" t="s">
        <v>114</v>
      </c>
      <c r="B25" s="100"/>
      <c r="C25" s="101">
        <v>331</v>
      </c>
      <c r="D25" s="101">
        <v>431</v>
      </c>
      <c r="E25" s="86">
        <f t="shared" si="3"/>
        <v>531</v>
      </c>
      <c r="F25" s="71"/>
      <c r="G25" s="101">
        <f>C25+1</f>
        <v>332</v>
      </c>
      <c r="H25" s="101">
        <f>D25+1</f>
        <v>432</v>
      </c>
      <c r="I25" s="263">
        <f t="shared" si="0"/>
        <v>532</v>
      </c>
      <c r="J25" s="264"/>
      <c r="K25" s="102"/>
      <c r="L25" s="101">
        <f>G25+1</f>
        <v>333</v>
      </c>
      <c r="M25" s="101">
        <f>H25+1</f>
        <v>433</v>
      </c>
      <c r="N25" s="87"/>
      <c r="O25" s="88">
        <f t="shared" si="1"/>
        <v>533</v>
      </c>
      <c r="P25" s="103"/>
      <c r="Q25" s="89">
        <f>L25+1</f>
        <v>334</v>
      </c>
      <c r="R25" s="89">
        <f>M25+1</f>
        <v>434</v>
      </c>
      <c r="S25" s="90">
        <f t="shared" si="2"/>
        <v>534</v>
      </c>
      <c r="T25" s="104"/>
      <c r="U25" s="105"/>
      <c r="V25" s="105"/>
      <c r="W25" s="89"/>
      <c r="X25" s="89"/>
      <c r="Y25" s="89"/>
      <c r="Z25" s="89"/>
      <c r="AA25" s="89"/>
      <c r="AB25" s="260"/>
    </row>
    <row r="26" spans="1:28" ht="15.5" x14ac:dyDescent="0.35">
      <c r="A26" s="169" t="s">
        <v>115</v>
      </c>
      <c r="B26" s="170"/>
      <c r="C26" s="86">
        <v>335</v>
      </c>
      <c r="D26" s="86">
        <v>435</v>
      </c>
      <c r="E26" s="86">
        <f t="shared" si="3"/>
        <v>535</v>
      </c>
      <c r="F26" s="71"/>
      <c r="G26" s="101">
        <f t="shared" ref="G26:H33" si="6">C26+1</f>
        <v>336</v>
      </c>
      <c r="H26" s="101">
        <f t="shared" si="6"/>
        <v>436</v>
      </c>
      <c r="I26" s="263">
        <f t="shared" si="0"/>
        <v>536</v>
      </c>
      <c r="J26" s="264"/>
      <c r="K26" s="72"/>
      <c r="L26" s="101">
        <f t="shared" ref="L26:M33" si="7">G26+1</f>
        <v>337</v>
      </c>
      <c r="M26" s="101">
        <f t="shared" si="7"/>
        <v>437</v>
      </c>
      <c r="N26" s="87"/>
      <c r="O26" s="88">
        <f t="shared" si="1"/>
        <v>537</v>
      </c>
      <c r="P26" s="46"/>
      <c r="Q26" s="89">
        <f t="shared" ref="Q26:R33" si="8">L26+1</f>
        <v>338</v>
      </c>
      <c r="R26" s="89">
        <f t="shared" si="8"/>
        <v>438</v>
      </c>
      <c r="S26" s="90">
        <f t="shared" si="2"/>
        <v>538</v>
      </c>
      <c r="T26" s="91"/>
      <c r="U26" s="105">
        <f t="shared" ref="U26:V32" si="9">Q26+1</f>
        <v>339</v>
      </c>
      <c r="V26" s="105">
        <f t="shared" si="9"/>
        <v>439</v>
      </c>
      <c r="W26" s="89">
        <f t="shared" si="4"/>
        <v>539</v>
      </c>
      <c r="X26" s="106"/>
      <c r="Y26" s="89">
        <f t="shared" ref="Y26:Z32" si="10">U26+1</f>
        <v>340</v>
      </c>
      <c r="Z26" s="89">
        <f t="shared" si="10"/>
        <v>440</v>
      </c>
      <c r="AA26" s="89">
        <f t="shared" si="5"/>
        <v>540</v>
      </c>
      <c r="AB26" s="260"/>
    </row>
    <row r="27" spans="1:28" ht="15" customHeight="1" x14ac:dyDescent="0.35">
      <c r="A27" s="169" t="s">
        <v>116</v>
      </c>
      <c r="B27" s="170"/>
      <c r="C27" s="86">
        <f t="shared" ref="C27:D33" si="11">Y26+1</f>
        <v>341</v>
      </c>
      <c r="D27" s="86">
        <f t="shared" si="11"/>
        <v>441</v>
      </c>
      <c r="E27" s="86">
        <f t="shared" si="3"/>
        <v>541</v>
      </c>
      <c r="F27" s="71"/>
      <c r="G27" s="101">
        <f t="shared" si="6"/>
        <v>342</v>
      </c>
      <c r="H27" s="101">
        <f t="shared" si="6"/>
        <v>442</v>
      </c>
      <c r="I27" s="263">
        <f t="shared" si="0"/>
        <v>542</v>
      </c>
      <c r="J27" s="264"/>
      <c r="K27" s="72"/>
      <c r="L27" s="101">
        <f t="shared" si="7"/>
        <v>343</v>
      </c>
      <c r="M27" s="101">
        <f t="shared" si="7"/>
        <v>443</v>
      </c>
      <c r="N27" s="87"/>
      <c r="O27" s="88">
        <f t="shared" si="1"/>
        <v>543</v>
      </c>
      <c r="P27" s="46"/>
      <c r="Q27" s="89">
        <f t="shared" si="8"/>
        <v>344</v>
      </c>
      <c r="R27" s="89">
        <f t="shared" si="8"/>
        <v>444</v>
      </c>
      <c r="S27" s="90">
        <f t="shared" si="2"/>
        <v>544</v>
      </c>
      <c r="T27" s="91"/>
      <c r="U27" s="105">
        <f t="shared" si="9"/>
        <v>345</v>
      </c>
      <c r="V27" s="105">
        <f t="shared" si="9"/>
        <v>445</v>
      </c>
      <c r="W27" s="89">
        <f t="shared" si="4"/>
        <v>545</v>
      </c>
      <c r="X27" s="92"/>
      <c r="Y27" s="89">
        <f t="shared" si="10"/>
        <v>346</v>
      </c>
      <c r="Z27" s="89">
        <f t="shared" si="10"/>
        <v>446</v>
      </c>
      <c r="AA27" s="89">
        <f t="shared" si="5"/>
        <v>546</v>
      </c>
      <c r="AB27" s="261"/>
    </row>
    <row r="28" spans="1:28" ht="15" customHeight="1" x14ac:dyDescent="0.35">
      <c r="A28" s="169" t="s">
        <v>117</v>
      </c>
      <c r="B28" s="170"/>
      <c r="C28" s="86">
        <f t="shared" si="11"/>
        <v>347</v>
      </c>
      <c r="D28" s="86">
        <f t="shared" si="11"/>
        <v>447</v>
      </c>
      <c r="E28" s="86">
        <f t="shared" si="3"/>
        <v>547</v>
      </c>
      <c r="F28" s="71"/>
      <c r="G28" s="101">
        <f t="shared" si="6"/>
        <v>348</v>
      </c>
      <c r="H28" s="101">
        <f t="shared" si="6"/>
        <v>448</v>
      </c>
      <c r="I28" s="263">
        <f t="shared" si="0"/>
        <v>548</v>
      </c>
      <c r="J28" s="264"/>
      <c r="K28" s="72"/>
      <c r="L28" s="101">
        <f t="shared" si="7"/>
        <v>349</v>
      </c>
      <c r="M28" s="101">
        <f t="shared" si="7"/>
        <v>449</v>
      </c>
      <c r="N28" s="87"/>
      <c r="O28" s="88">
        <f t="shared" si="1"/>
        <v>549</v>
      </c>
      <c r="P28" s="46"/>
      <c r="Q28" s="89">
        <f t="shared" si="8"/>
        <v>350</v>
      </c>
      <c r="R28" s="89">
        <f t="shared" si="8"/>
        <v>450</v>
      </c>
      <c r="S28" s="90">
        <f t="shared" si="2"/>
        <v>550</v>
      </c>
      <c r="T28" s="91"/>
      <c r="U28" s="105">
        <f t="shared" si="9"/>
        <v>351</v>
      </c>
      <c r="V28" s="105">
        <f t="shared" si="9"/>
        <v>451</v>
      </c>
      <c r="W28" s="89">
        <f t="shared" si="4"/>
        <v>551</v>
      </c>
      <c r="X28" s="92"/>
      <c r="Y28" s="89">
        <f t="shared" si="10"/>
        <v>352</v>
      </c>
      <c r="Z28" s="89">
        <f t="shared" si="10"/>
        <v>452</v>
      </c>
      <c r="AA28" s="89">
        <f t="shared" si="5"/>
        <v>552</v>
      </c>
      <c r="AB28" s="279" t="s">
        <v>118</v>
      </c>
    </row>
    <row r="29" spans="1:28" ht="15" customHeight="1" x14ac:dyDescent="0.35">
      <c r="A29" s="169" t="s">
        <v>119</v>
      </c>
      <c r="B29" s="170"/>
      <c r="C29" s="86">
        <f t="shared" si="11"/>
        <v>353</v>
      </c>
      <c r="D29" s="86">
        <f t="shared" si="11"/>
        <v>453</v>
      </c>
      <c r="E29" s="86">
        <f t="shared" si="3"/>
        <v>553</v>
      </c>
      <c r="F29" s="71"/>
      <c r="G29" s="101">
        <f t="shared" si="6"/>
        <v>354</v>
      </c>
      <c r="H29" s="101">
        <f t="shared" si="6"/>
        <v>454</v>
      </c>
      <c r="I29" s="263">
        <f t="shared" si="0"/>
        <v>554</v>
      </c>
      <c r="J29" s="264"/>
      <c r="K29" s="72"/>
      <c r="L29" s="101">
        <f t="shared" si="7"/>
        <v>355</v>
      </c>
      <c r="M29" s="101">
        <f t="shared" si="7"/>
        <v>455</v>
      </c>
      <c r="N29" s="107"/>
      <c r="O29" s="88">
        <f t="shared" si="1"/>
        <v>555</v>
      </c>
      <c r="P29" s="46"/>
      <c r="Q29" s="89">
        <f t="shared" si="8"/>
        <v>356</v>
      </c>
      <c r="R29" s="89">
        <f t="shared" si="8"/>
        <v>456</v>
      </c>
      <c r="S29" s="90">
        <f t="shared" si="2"/>
        <v>556</v>
      </c>
      <c r="T29" s="91"/>
      <c r="U29" s="105">
        <f t="shared" si="9"/>
        <v>357</v>
      </c>
      <c r="V29" s="105">
        <f t="shared" si="9"/>
        <v>457</v>
      </c>
      <c r="W29" s="89">
        <f t="shared" si="4"/>
        <v>557</v>
      </c>
      <c r="X29" s="92"/>
      <c r="Y29" s="89">
        <f t="shared" si="10"/>
        <v>358</v>
      </c>
      <c r="Z29" s="89">
        <f t="shared" si="10"/>
        <v>458</v>
      </c>
      <c r="AA29" s="89">
        <f t="shared" si="5"/>
        <v>558</v>
      </c>
      <c r="AB29" s="280"/>
    </row>
    <row r="30" spans="1:28" ht="15" customHeight="1" x14ac:dyDescent="0.35">
      <c r="A30" s="176" t="s">
        <v>120</v>
      </c>
      <c r="B30" s="282"/>
      <c r="C30" s="86">
        <f t="shared" si="11"/>
        <v>359</v>
      </c>
      <c r="D30" s="86">
        <f t="shared" si="11"/>
        <v>459</v>
      </c>
      <c r="E30" s="86">
        <f t="shared" si="3"/>
        <v>559</v>
      </c>
      <c r="F30" s="71"/>
      <c r="G30" s="101">
        <f t="shared" si="6"/>
        <v>360</v>
      </c>
      <c r="H30" s="101">
        <f t="shared" si="6"/>
        <v>460</v>
      </c>
      <c r="I30" s="263">
        <f t="shared" si="0"/>
        <v>560</v>
      </c>
      <c r="J30" s="264"/>
      <c r="K30" s="72"/>
      <c r="L30" s="101">
        <f t="shared" si="7"/>
        <v>361</v>
      </c>
      <c r="M30" s="101">
        <f t="shared" si="7"/>
        <v>461</v>
      </c>
      <c r="N30" s="87"/>
      <c r="O30" s="88">
        <f t="shared" si="1"/>
        <v>561</v>
      </c>
      <c r="P30" s="46"/>
      <c r="Q30" s="89">
        <f t="shared" si="8"/>
        <v>362</v>
      </c>
      <c r="R30" s="89">
        <f t="shared" si="8"/>
        <v>462</v>
      </c>
      <c r="S30" s="90">
        <f t="shared" si="2"/>
        <v>562</v>
      </c>
      <c r="T30" s="91"/>
      <c r="U30" s="105">
        <f t="shared" si="9"/>
        <v>363</v>
      </c>
      <c r="V30" s="105">
        <f t="shared" si="9"/>
        <v>463</v>
      </c>
      <c r="W30" s="89">
        <f t="shared" si="4"/>
        <v>563</v>
      </c>
      <c r="X30" s="92"/>
      <c r="Y30" s="89">
        <f t="shared" si="10"/>
        <v>364</v>
      </c>
      <c r="Z30" s="89">
        <f t="shared" si="10"/>
        <v>464</v>
      </c>
      <c r="AA30" s="89">
        <f t="shared" si="5"/>
        <v>564</v>
      </c>
      <c r="AB30" s="280"/>
    </row>
    <row r="31" spans="1:28" ht="15" customHeight="1" x14ac:dyDescent="0.35">
      <c r="A31" s="176" t="s">
        <v>121</v>
      </c>
      <c r="B31" s="282"/>
      <c r="C31" s="86">
        <f t="shared" si="11"/>
        <v>365</v>
      </c>
      <c r="D31" s="86">
        <f t="shared" si="11"/>
        <v>465</v>
      </c>
      <c r="E31" s="86">
        <f t="shared" si="3"/>
        <v>565</v>
      </c>
      <c r="F31" s="71"/>
      <c r="G31" s="101">
        <f t="shared" si="6"/>
        <v>366</v>
      </c>
      <c r="H31" s="101">
        <f t="shared" si="6"/>
        <v>466</v>
      </c>
      <c r="I31" s="263">
        <f t="shared" si="0"/>
        <v>566</v>
      </c>
      <c r="J31" s="264"/>
      <c r="K31" s="72"/>
      <c r="L31" s="101">
        <f t="shared" si="7"/>
        <v>367</v>
      </c>
      <c r="M31" s="101">
        <f t="shared" si="7"/>
        <v>467</v>
      </c>
      <c r="N31" s="108"/>
      <c r="O31" s="88">
        <f t="shared" si="1"/>
        <v>567</v>
      </c>
      <c r="P31" s="46"/>
      <c r="Q31" s="89">
        <f t="shared" si="8"/>
        <v>368</v>
      </c>
      <c r="R31" s="89">
        <f t="shared" si="8"/>
        <v>468</v>
      </c>
      <c r="S31" s="90">
        <f t="shared" si="2"/>
        <v>568</v>
      </c>
      <c r="T31" s="91"/>
      <c r="U31" s="105">
        <f t="shared" si="9"/>
        <v>369</v>
      </c>
      <c r="V31" s="105">
        <f t="shared" si="9"/>
        <v>469</v>
      </c>
      <c r="W31" s="89">
        <f t="shared" si="4"/>
        <v>569</v>
      </c>
      <c r="X31" s="92"/>
      <c r="Y31" s="89">
        <f t="shared" si="10"/>
        <v>370</v>
      </c>
      <c r="Z31" s="89">
        <f t="shared" si="10"/>
        <v>470</v>
      </c>
      <c r="AA31" s="89">
        <f t="shared" si="5"/>
        <v>570</v>
      </c>
      <c r="AB31" s="280"/>
    </row>
    <row r="32" spans="1:28" ht="15" customHeight="1" x14ac:dyDescent="0.35">
      <c r="A32" s="283" t="s">
        <v>122</v>
      </c>
      <c r="B32" s="284"/>
      <c r="C32" s="86">
        <f t="shared" si="11"/>
        <v>371</v>
      </c>
      <c r="D32" s="86">
        <f t="shared" si="11"/>
        <v>471</v>
      </c>
      <c r="E32" s="86">
        <f t="shared" si="3"/>
        <v>571</v>
      </c>
      <c r="F32" s="71"/>
      <c r="G32" s="101">
        <f t="shared" si="6"/>
        <v>372</v>
      </c>
      <c r="H32" s="101">
        <f t="shared" si="6"/>
        <v>472</v>
      </c>
      <c r="I32" s="263">
        <f t="shared" si="0"/>
        <v>572</v>
      </c>
      <c r="J32" s="264"/>
      <c r="K32" s="72"/>
      <c r="L32" s="101">
        <f t="shared" si="7"/>
        <v>373</v>
      </c>
      <c r="M32" s="101">
        <f t="shared" si="7"/>
        <v>473</v>
      </c>
      <c r="N32" s="109"/>
      <c r="O32" s="88">
        <f t="shared" si="1"/>
        <v>573</v>
      </c>
      <c r="P32" s="46"/>
      <c r="Q32" s="89">
        <f t="shared" si="8"/>
        <v>374</v>
      </c>
      <c r="R32" s="89">
        <f t="shared" si="8"/>
        <v>474</v>
      </c>
      <c r="S32" s="90">
        <f t="shared" si="2"/>
        <v>574</v>
      </c>
      <c r="T32" s="91"/>
      <c r="U32" s="105">
        <f t="shared" si="9"/>
        <v>375</v>
      </c>
      <c r="V32" s="105">
        <f t="shared" si="9"/>
        <v>475</v>
      </c>
      <c r="W32" s="89">
        <f t="shared" si="4"/>
        <v>575</v>
      </c>
      <c r="X32" s="92"/>
      <c r="Y32" s="89">
        <f t="shared" si="10"/>
        <v>376</v>
      </c>
      <c r="Z32" s="89">
        <f t="shared" si="10"/>
        <v>476</v>
      </c>
      <c r="AA32" s="89">
        <f t="shared" si="5"/>
        <v>576</v>
      </c>
      <c r="AB32" s="280"/>
    </row>
    <row r="33" spans="1:28" ht="15" customHeight="1" x14ac:dyDescent="0.35">
      <c r="A33" s="176" t="s">
        <v>123</v>
      </c>
      <c r="B33" s="282"/>
      <c r="C33" s="86">
        <f t="shared" si="11"/>
        <v>377</v>
      </c>
      <c r="D33" s="86">
        <f t="shared" si="11"/>
        <v>477</v>
      </c>
      <c r="E33" s="86">
        <f t="shared" si="3"/>
        <v>577</v>
      </c>
      <c r="F33" s="71"/>
      <c r="G33" s="101">
        <f t="shared" si="6"/>
        <v>378</v>
      </c>
      <c r="H33" s="101">
        <f t="shared" si="6"/>
        <v>478</v>
      </c>
      <c r="I33" s="263">
        <f t="shared" si="0"/>
        <v>578</v>
      </c>
      <c r="J33" s="264"/>
      <c r="K33" s="72"/>
      <c r="L33" s="101">
        <f t="shared" si="7"/>
        <v>379</v>
      </c>
      <c r="M33" s="101">
        <f t="shared" si="7"/>
        <v>479</v>
      </c>
      <c r="N33" s="109"/>
      <c r="O33" s="88">
        <f t="shared" si="1"/>
        <v>579</v>
      </c>
      <c r="P33" s="46"/>
      <c r="Q33" s="89">
        <f t="shared" si="8"/>
        <v>380</v>
      </c>
      <c r="R33" s="89">
        <f t="shared" si="8"/>
        <v>480</v>
      </c>
      <c r="S33" s="90">
        <f t="shared" si="2"/>
        <v>580</v>
      </c>
      <c r="T33" s="110"/>
      <c r="U33" s="105"/>
      <c r="V33" s="105"/>
      <c r="W33" s="105"/>
      <c r="X33" s="92"/>
      <c r="Y33" s="89"/>
      <c r="Z33" s="89"/>
      <c r="AA33" s="105"/>
      <c r="AB33" s="280"/>
    </row>
    <row r="34" spans="1:28" ht="15.5" x14ac:dyDescent="0.35">
      <c r="A34" s="273" t="s">
        <v>124</v>
      </c>
      <c r="B34" s="274"/>
      <c r="C34" s="111"/>
      <c r="D34" s="275"/>
      <c r="E34" s="275"/>
      <c r="F34" s="71"/>
      <c r="G34" s="111"/>
      <c r="H34" s="275"/>
      <c r="I34" s="276"/>
      <c r="J34" s="276"/>
      <c r="K34" s="72"/>
      <c r="L34" s="112"/>
      <c r="M34" s="113"/>
      <c r="N34" s="114"/>
      <c r="O34" s="114"/>
      <c r="P34" s="115"/>
      <c r="Q34" s="85"/>
      <c r="R34" s="277"/>
      <c r="S34" s="278"/>
      <c r="T34" s="116"/>
      <c r="U34" s="85"/>
      <c r="V34" s="277"/>
      <c r="W34" s="278"/>
      <c r="X34" s="116"/>
      <c r="Y34" s="85"/>
      <c r="Z34" s="277"/>
      <c r="AA34" s="278"/>
      <c r="AB34" s="281"/>
    </row>
    <row r="35" spans="1:28" ht="7.5" customHeight="1" x14ac:dyDescent="0.3">
      <c r="A35" s="227"/>
      <c r="B35" s="196"/>
      <c r="C35" s="196"/>
      <c r="D35" s="196"/>
      <c r="E35" s="196"/>
      <c r="F35" s="196"/>
      <c r="G35" s="196"/>
      <c r="H35" s="196"/>
      <c r="I35" s="196"/>
      <c r="J35" s="196"/>
      <c r="K35" s="196"/>
      <c r="L35" s="196"/>
      <c r="M35" s="196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96"/>
      <c r="Z35" s="196"/>
      <c r="AA35" s="117"/>
      <c r="AB35" s="118"/>
    </row>
    <row r="36" spans="1:28" x14ac:dyDescent="0.3">
      <c r="A36" s="18" t="s">
        <v>42</v>
      </c>
      <c r="B36" s="19" t="s">
        <v>43</v>
      </c>
      <c r="C36" s="20" t="s">
        <v>14</v>
      </c>
      <c r="D36" s="20" t="str">
        <f>[2]Report!E37</f>
        <v>BP</v>
      </c>
      <c r="E36" s="20" t="str">
        <f>[2]Report!F37</f>
        <v>Others</v>
      </c>
      <c r="F36" s="173" t="str">
        <f>[2]Report!G37</f>
        <v>Total</v>
      </c>
      <c r="G36" s="173"/>
      <c r="H36" s="10" t="str">
        <f>[2]Report!H37</f>
        <v>Mat.Yld</v>
      </c>
      <c r="I36" s="285"/>
      <c r="J36" s="286" t="s">
        <v>125</v>
      </c>
      <c r="K36" s="286"/>
      <c r="L36" s="286"/>
      <c r="M36" s="175" t="s">
        <v>126</v>
      </c>
      <c r="N36" s="175"/>
      <c r="O36" s="175"/>
      <c r="P36" s="10"/>
      <c r="Q36" s="173" t="s">
        <v>127</v>
      </c>
      <c r="R36" s="173"/>
      <c r="S36" s="173" t="s">
        <v>28</v>
      </c>
      <c r="T36" s="178"/>
      <c r="U36" s="178"/>
      <c r="V36" s="24"/>
      <c r="W36" s="25"/>
      <c r="X36" s="25"/>
      <c r="Y36" s="25"/>
      <c r="Z36" s="25"/>
      <c r="AA36" s="25"/>
      <c r="AB36" s="119"/>
    </row>
    <row r="37" spans="1:28" ht="15" customHeight="1" x14ac:dyDescent="0.35">
      <c r="A37" s="1" t="str">
        <f>[2]Report!B38</f>
        <v>On-dt (MT)</v>
      </c>
      <c r="B37" s="48">
        <v>162</v>
      </c>
      <c r="C37" s="48">
        <v>165</v>
      </c>
      <c r="D37" s="48">
        <v>168</v>
      </c>
      <c r="E37" s="48">
        <v>171</v>
      </c>
      <c r="F37" s="287" t="s">
        <v>128</v>
      </c>
      <c r="G37" s="288"/>
      <c r="H37" s="120">
        <v>161</v>
      </c>
      <c r="I37" s="285"/>
      <c r="J37" s="289">
        <f>[3]Sheet1!$A$2</f>
        <v>45818</v>
      </c>
      <c r="K37" s="290"/>
      <c r="L37" s="291"/>
      <c r="M37" s="121" t="s">
        <v>5</v>
      </c>
      <c r="N37" s="292"/>
      <c r="O37" s="122" t="s">
        <v>6</v>
      </c>
      <c r="P37" s="122"/>
      <c r="Q37" s="121" t="s">
        <v>5</v>
      </c>
      <c r="R37" s="122" t="s">
        <v>6</v>
      </c>
      <c r="S37" s="123" t="s">
        <v>5</v>
      </c>
      <c r="T37" s="294" t="s">
        <v>6</v>
      </c>
      <c r="U37" s="295"/>
      <c r="V37" s="296"/>
      <c r="W37" s="297"/>
      <c r="X37" s="297"/>
      <c r="Y37" s="297"/>
      <c r="Z37" s="297"/>
      <c r="AA37" s="297"/>
      <c r="AB37" s="298"/>
    </row>
    <row r="38" spans="1:28" ht="15" customHeight="1" x14ac:dyDescent="0.35">
      <c r="A38" s="1" t="str">
        <f>[2]Report!B39</f>
        <v>MTD (MT)</v>
      </c>
      <c r="B38" s="48">
        <v>163</v>
      </c>
      <c r="C38" s="48">
        <v>166</v>
      </c>
      <c r="D38" s="48">
        <v>169</v>
      </c>
      <c r="E38" s="48">
        <v>172</v>
      </c>
      <c r="F38" s="287" t="s">
        <v>129</v>
      </c>
      <c r="G38" s="288"/>
      <c r="H38" s="120">
        <v>261</v>
      </c>
      <c r="I38" s="285"/>
      <c r="J38" s="303" t="s">
        <v>130</v>
      </c>
      <c r="K38" s="304"/>
      <c r="L38" s="304"/>
      <c r="M38" s="124">
        <v>5.0460728389644585</v>
      </c>
      <c r="N38" s="293"/>
      <c r="O38" s="125">
        <v>19.77134025454259</v>
      </c>
      <c r="P38" s="125"/>
      <c r="Q38" s="125">
        <v>50.083328271129858</v>
      </c>
      <c r="R38" s="125">
        <v>12.36747327769501</v>
      </c>
      <c r="S38" s="125">
        <v>30.746437818953478</v>
      </c>
      <c r="T38" s="305">
        <v>15.577451266834789</v>
      </c>
      <c r="U38" s="306"/>
      <c r="V38" s="299"/>
      <c r="W38" s="300"/>
      <c r="X38" s="300"/>
      <c r="Y38" s="300"/>
      <c r="Z38" s="300"/>
      <c r="AA38" s="300"/>
      <c r="AB38" s="301"/>
    </row>
    <row r="39" spans="1:28" ht="15" customHeight="1" x14ac:dyDescent="0.35">
      <c r="A39" s="126" t="str">
        <f>[2]Report!B40</f>
        <v>YTD (MT)</v>
      </c>
      <c r="B39" s="48">
        <v>164</v>
      </c>
      <c r="C39" s="48">
        <v>167</v>
      </c>
      <c r="D39" s="48">
        <v>170</v>
      </c>
      <c r="E39" s="48">
        <v>173</v>
      </c>
      <c r="F39" s="287" t="s">
        <v>131</v>
      </c>
      <c r="G39" s="288"/>
      <c r="H39" s="127">
        <v>661</v>
      </c>
      <c r="I39" s="285"/>
      <c r="J39" s="307" t="s">
        <v>132</v>
      </c>
      <c r="K39" s="292"/>
      <c r="L39" s="292"/>
      <c r="M39" s="128">
        <v>-3.4181689072511015</v>
      </c>
      <c r="N39" s="293"/>
      <c r="O39" s="128">
        <v>-2.4798421433818407</v>
      </c>
      <c r="P39" s="128"/>
      <c r="Q39" s="128">
        <v>-4.2704363859864785</v>
      </c>
      <c r="R39" s="128">
        <v>-3.7047667139985987</v>
      </c>
      <c r="S39" s="128">
        <v>-3.8410089814637871</v>
      </c>
      <c r="T39" s="308">
        <v>-3.1469125917243952</v>
      </c>
      <c r="U39" s="309"/>
      <c r="V39" s="302"/>
      <c r="W39" s="194"/>
      <c r="X39" s="194"/>
      <c r="Y39" s="194"/>
      <c r="Z39" s="194"/>
      <c r="AA39" s="194"/>
      <c r="AB39" s="195"/>
    </row>
    <row r="40" spans="1:28" ht="6" customHeight="1" x14ac:dyDescent="0.3">
      <c r="A40" s="310"/>
      <c r="B40" s="311"/>
      <c r="C40" s="311"/>
      <c r="D40" s="311"/>
      <c r="E40" s="311"/>
      <c r="F40" s="311"/>
      <c r="G40" s="311"/>
      <c r="H40" s="311"/>
      <c r="I40" s="311"/>
      <c r="J40" s="311"/>
      <c r="K40" s="311"/>
      <c r="L40" s="311"/>
      <c r="M40" s="311"/>
      <c r="N40" s="311"/>
      <c r="O40" s="311"/>
      <c r="P40" s="311"/>
      <c r="Q40" s="311"/>
      <c r="R40" s="311"/>
      <c r="S40" s="311"/>
      <c r="T40" s="311"/>
      <c r="U40" s="311"/>
      <c r="V40" s="312"/>
      <c r="W40" s="26"/>
      <c r="X40" s="26"/>
      <c r="Y40" s="26"/>
      <c r="Z40" s="129"/>
      <c r="AA40" s="129"/>
      <c r="AB40" s="130"/>
    </row>
    <row r="41" spans="1:28" ht="15.5" x14ac:dyDescent="0.3">
      <c r="A41" s="171" t="s">
        <v>44</v>
      </c>
      <c r="B41" s="313" t="s">
        <v>45</v>
      </c>
      <c r="C41" s="314"/>
      <c r="D41" s="315"/>
      <c r="E41" s="316" t="s">
        <v>133</v>
      </c>
      <c r="F41" s="318"/>
      <c r="G41" s="313" t="s">
        <v>46</v>
      </c>
      <c r="H41" s="313"/>
      <c r="I41" s="313"/>
      <c r="J41" s="313"/>
      <c r="K41" s="319"/>
      <c r="L41" s="320" t="s">
        <v>47</v>
      </c>
      <c r="M41" s="321"/>
      <c r="N41" s="322"/>
      <c r="O41" s="323" t="s">
        <v>48</v>
      </c>
      <c r="P41" s="324"/>
      <c r="Q41" s="324"/>
      <c r="R41" s="325"/>
      <c r="S41" s="326" t="s">
        <v>49</v>
      </c>
      <c r="T41" s="327"/>
      <c r="U41" s="327"/>
      <c r="V41" s="328"/>
      <c r="W41" s="329" t="s">
        <v>78</v>
      </c>
      <c r="X41" s="330"/>
      <c r="Y41" s="330"/>
      <c r="Z41" s="330"/>
      <c r="AA41" s="330"/>
      <c r="AB41" s="331"/>
    </row>
    <row r="42" spans="1:28" ht="14.25" customHeight="1" x14ac:dyDescent="0.3">
      <c r="A42" s="172"/>
      <c r="B42" s="131" t="s">
        <v>8</v>
      </c>
      <c r="C42" s="131" t="s">
        <v>6</v>
      </c>
      <c r="D42" s="132" t="s">
        <v>7</v>
      </c>
      <c r="E42" s="317"/>
      <c r="F42" s="318"/>
      <c r="G42" s="131" t="s">
        <v>8</v>
      </c>
      <c r="H42" s="131" t="s">
        <v>6</v>
      </c>
      <c r="I42" s="332" t="s">
        <v>7</v>
      </c>
      <c r="J42" s="333"/>
      <c r="K42" s="319"/>
      <c r="L42" s="133" t="s">
        <v>8</v>
      </c>
      <c r="M42" s="133" t="s">
        <v>6</v>
      </c>
      <c r="N42" s="322"/>
      <c r="O42" s="133" t="s">
        <v>8</v>
      </c>
      <c r="P42" s="133"/>
      <c r="Q42" s="133" t="s">
        <v>6</v>
      </c>
      <c r="R42" s="133" t="s">
        <v>7</v>
      </c>
      <c r="S42" s="134" t="s">
        <v>134</v>
      </c>
      <c r="T42" s="334" t="s">
        <v>8</v>
      </c>
      <c r="U42" s="335"/>
      <c r="V42" s="134" t="s">
        <v>6</v>
      </c>
      <c r="W42" s="329"/>
      <c r="X42" s="330"/>
      <c r="Y42" s="330"/>
      <c r="Z42" s="330"/>
      <c r="AA42" s="330"/>
      <c r="AB42" s="331"/>
    </row>
    <row r="43" spans="1:28" ht="28.5" customHeight="1" x14ac:dyDescent="0.3">
      <c r="A43" s="336" t="s">
        <v>135</v>
      </c>
      <c r="B43" s="135">
        <v>101</v>
      </c>
      <c r="C43" s="135">
        <v>201</v>
      </c>
      <c r="D43" s="49">
        <v>601</v>
      </c>
      <c r="E43" s="338">
        <v>701</v>
      </c>
      <c r="F43" s="318"/>
      <c r="G43" s="135">
        <v>113</v>
      </c>
      <c r="H43" s="135">
        <v>213</v>
      </c>
      <c r="I43" s="340">
        <v>613</v>
      </c>
      <c r="J43" s="341"/>
      <c r="K43" s="319"/>
      <c r="L43" s="137">
        <v>125</v>
      </c>
      <c r="M43" s="135">
        <v>225</v>
      </c>
      <c r="N43" s="322"/>
      <c r="O43" s="135">
        <v>137</v>
      </c>
      <c r="P43" s="138"/>
      <c r="Q43" s="135">
        <v>237</v>
      </c>
      <c r="R43" s="136">
        <v>637</v>
      </c>
      <c r="S43" s="139"/>
      <c r="T43" s="140">
        <v>99.3</v>
      </c>
      <c r="U43" s="120">
        <v>149</v>
      </c>
      <c r="V43" s="120">
        <v>249</v>
      </c>
      <c r="W43" s="342" t="s">
        <v>110</v>
      </c>
      <c r="X43" s="343"/>
      <c r="Y43" s="343"/>
      <c r="Z43" s="343"/>
      <c r="AA43" s="343"/>
      <c r="AB43" s="344"/>
    </row>
    <row r="44" spans="1:28" ht="28.5" customHeight="1" x14ac:dyDescent="0.3">
      <c r="A44" s="337"/>
      <c r="B44" s="135">
        <v>102</v>
      </c>
      <c r="C44" s="135">
        <v>202</v>
      </c>
      <c r="D44" s="49">
        <v>602</v>
      </c>
      <c r="E44" s="339"/>
      <c r="F44" s="318"/>
      <c r="G44" s="135">
        <v>114</v>
      </c>
      <c r="H44" s="135">
        <v>214</v>
      </c>
      <c r="I44" s="340">
        <v>614</v>
      </c>
      <c r="J44" s="341"/>
      <c r="K44" s="319"/>
      <c r="L44" s="135">
        <v>126</v>
      </c>
      <c r="M44" s="135">
        <v>226</v>
      </c>
      <c r="N44" s="322"/>
      <c r="O44" s="135">
        <v>138</v>
      </c>
      <c r="P44" s="138"/>
      <c r="Q44" s="135">
        <v>238</v>
      </c>
      <c r="R44" s="136">
        <v>638</v>
      </c>
      <c r="S44" s="139"/>
      <c r="T44" s="141"/>
      <c r="U44" s="120">
        <v>150</v>
      </c>
      <c r="V44" s="120">
        <v>250</v>
      </c>
      <c r="W44" s="342" t="s">
        <v>136</v>
      </c>
      <c r="X44" s="343"/>
      <c r="Y44" s="343"/>
      <c r="Z44" s="343"/>
      <c r="AA44" s="343"/>
      <c r="AB44" s="344"/>
    </row>
    <row r="45" spans="1:28" ht="31" x14ac:dyDescent="0.3">
      <c r="A45" s="142" t="s">
        <v>137</v>
      </c>
      <c r="B45" s="135">
        <v>103</v>
      </c>
      <c r="C45" s="135">
        <v>203</v>
      </c>
      <c r="D45" s="49">
        <v>603</v>
      </c>
      <c r="E45" s="346">
        <v>702</v>
      </c>
      <c r="F45" s="318"/>
      <c r="G45" s="135">
        <v>115</v>
      </c>
      <c r="H45" s="135">
        <v>215</v>
      </c>
      <c r="I45" s="340">
        <v>615</v>
      </c>
      <c r="J45" s="341"/>
      <c r="K45" s="319"/>
      <c r="L45" s="137">
        <v>127</v>
      </c>
      <c r="M45" s="135">
        <v>227</v>
      </c>
      <c r="N45" s="322"/>
      <c r="O45" s="135">
        <v>139</v>
      </c>
      <c r="P45" s="138"/>
      <c r="Q45" s="135">
        <v>239</v>
      </c>
      <c r="R45" s="136">
        <v>639</v>
      </c>
      <c r="S45" s="139"/>
      <c r="T45" s="141"/>
      <c r="U45" s="120">
        <v>151</v>
      </c>
      <c r="V45" s="120">
        <v>251</v>
      </c>
      <c r="W45" s="342" t="s">
        <v>138</v>
      </c>
      <c r="X45" s="343"/>
      <c r="Y45" s="343"/>
      <c r="Z45" s="343"/>
      <c r="AA45" s="343"/>
      <c r="AB45" s="344"/>
    </row>
    <row r="46" spans="1:28" ht="31" x14ac:dyDescent="0.3">
      <c r="A46" s="142" t="s">
        <v>139</v>
      </c>
      <c r="B46" s="135">
        <v>104</v>
      </c>
      <c r="C46" s="135">
        <v>204</v>
      </c>
      <c r="D46" s="49">
        <v>604</v>
      </c>
      <c r="E46" s="339"/>
      <c r="F46" s="318"/>
      <c r="G46" s="135">
        <v>116</v>
      </c>
      <c r="H46" s="135">
        <v>216</v>
      </c>
      <c r="I46" s="340">
        <v>616</v>
      </c>
      <c r="J46" s="341"/>
      <c r="K46" s="319"/>
      <c r="L46" s="135">
        <v>128</v>
      </c>
      <c r="M46" s="135">
        <v>228</v>
      </c>
      <c r="N46" s="322"/>
      <c r="O46" s="135">
        <v>140</v>
      </c>
      <c r="P46" s="138"/>
      <c r="Q46" s="135">
        <v>240</v>
      </c>
      <c r="R46" s="136">
        <v>640</v>
      </c>
      <c r="S46" s="139"/>
      <c r="T46" s="141"/>
      <c r="U46" s="120">
        <v>152</v>
      </c>
      <c r="V46" s="120">
        <v>252</v>
      </c>
      <c r="W46" s="342" t="s">
        <v>140</v>
      </c>
      <c r="X46" s="343"/>
      <c r="Y46" s="343"/>
      <c r="Z46" s="343"/>
      <c r="AA46" s="343"/>
      <c r="AB46" s="344"/>
    </row>
    <row r="47" spans="1:28" ht="31" x14ac:dyDescent="0.3">
      <c r="A47" s="142" t="s">
        <v>141</v>
      </c>
      <c r="B47" s="135">
        <v>105</v>
      </c>
      <c r="C47" s="135">
        <v>205</v>
      </c>
      <c r="D47" s="49">
        <v>605</v>
      </c>
      <c r="E47" s="338">
        <v>703</v>
      </c>
      <c r="F47" s="318"/>
      <c r="G47" s="135">
        <v>117</v>
      </c>
      <c r="H47" s="135">
        <v>217</v>
      </c>
      <c r="I47" s="340">
        <v>617</v>
      </c>
      <c r="J47" s="341"/>
      <c r="K47" s="319"/>
      <c r="L47" s="137">
        <v>129</v>
      </c>
      <c r="M47" s="135">
        <v>229</v>
      </c>
      <c r="N47" s="322"/>
      <c r="O47" s="135">
        <v>141</v>
      </c>
      <c r="P47" s="138"/>
      <c r="Q47" s="135">
        <v>241</v>
      </c>
      <c r="R47" s="136">
        <v>641</v>
      </c>
      <c r="S47" s="139"/>
      <c r="T47" s="141"/>
      <c r="U47" s="120">
        <v>153</v>
      </c>
      <c r="V47" s="120">
        <v>253</v>
      </c>
      <c r="W47" s="239" t="s">
        <v>142</v>
      </c>
      <c r="X47" s="240"/>
      <c r="Y47" s="240"/>
      <c r="Z47" s="240"/>
      <c r="AA47" s="240"/>
      <c r="AB47" s="241"/>
    </row>
    <row r="48" spans="1:28" ht="31" x14ac:dyDescent="0.3">
      <c r="A48" s="142" t="s">
        <v>143</v>
      </c>
      <c r="B48" s="135">
        <v>106</v>
      </c>
      <c r="C48" s="135">
        <v>206</v>
      </c>
      <c r="D48" s="49">
        <v>606</v>
      </c>
      <c r="E48" s="339"/>
      <c r="F48" s="318"/>
      <c r="G48" s="135">
        <v>118</v>
      </c>
      <c r="H48" s="135">
        <v>218</v>
      </c>
      <c r="I48" s="340">
        <v>618</v>
      </c>
      <c r="J48" s="341"/>
      <c r="K48" s="319"/>
      <c r="L48" s="135">
        <v>130</v>
      </c>
      <c r="M48" s="135">
        <v>230</v>
      </c>
      <c r="N48" s="322"/>
      <c r="O48" s="135">
        <v>142</v>
      </c>
      <c r="P48" s="138"/>
      <c r="Q48" s="135">
        <v>242</v>
      </c>
      <c r="R48" s="136">
        <v>642</v>
      </c>
      <c r="S48" s="139"/>
      <c r="T48" s="141"/>
      <c r="U48" s="120">
        <v>154</v>
      </c>
      <c r="V48" s="120">
        <v>254</v>
      </c>
      <c r="W48" s="342" t="s">
        <v>144</v>
      </c>
      <c r="X48" s="343"/>
      <c r="Y48" s="343"/>
      <c r="Z48" s="343"/>
      <c r="AA48" s="343"/>
      <c r="AB48" s="344"/>
    </row>
    <row r="49" spans="1:28" ht="19.5" customHeight="1" x14ac:dyDescent="0.3">
      <c r="A49" s="336" t="s">
        <v>145</v>
      </c>
      <c r="B49" s="135">
        <v>107</v>
      </c>
      <c r="C49" s="135">
        <v>207</v>
      </c>
      <c r="D49" s="49">
        <v>607</v>
      </c>
      <c r="E49" s="346">
        <v>704</v>
      </c>
      <c r="F49" s="318"/>
      <c r="G49" s="135">
        <v>119</v>
      </c>
      <c r="H49" s="135">
        <v>219</v>
      </c>
      <c r="I49" s="340">
        <v>619</v>
      </c>
      <c r="J49" s="341"/>
      <c r="K49" s="319"/>
      <c r="L49" s="137">
        <v>131</v>
      </c>
      <c r="M49" s="135">
        <v>231</v>
      </c>
      <c r="N49" s="322"/>
      <c r="O49" s="135">
        <v>143</v>
      </c>
      <c r="P49" s="138"/>
      <c r="Q49" s="135">
        <v>243</v>
      </c>
      <c r="R49" s="136">
        <v>643</v>
      </c>
      <c r="S49" s="144"/>
      <c r="T49" s="141"/>
      <c r="U49" s="120">
        <v>155</v>
      </c>
      <c r="V49" s="120">
        <v>255</v>
      </c>
      <c r="W49" s="239"/>
      <c r="X49" s="240"/>
      <c r="Y49" s="240"/>
      <c r="Z49" s="240"/>
      <c r="AA49" s="240"/>
      <c r="AB49" s="241"/>
    </row>
    <row r="50" spans="1:28" ht="15.5" x14ac:dyDescent="0.3">
      <c r="A50" s="345"/>
      <c r="B50" s="135">
        <v>108</v>
      </c>
      <c r="C50" s="135">
        <v>208</v>
      </c>
      <c r="D50" s="49">
        <v>608</v>
      </c>
      <c r="E50" s="339"/>
      <c r="F50" s="318"/>
      <c r="G50" s="135">
        <v>120</v>
      </c>
      <c r="H50" s="135">
        <v>220</v>
      </c>
      <c r="I50" s="340">
        <v>620</v>
      </c>
      <c r="J50" s="341"/>
      <c r="K50" s="319"/>
      <c r="L50" s="135">
        <v>132</v>
      </c>
      <c r="M50" s="135">
        <v>232</v>
      </c>
      <c r="N50" s="322"/>
      <c r="O50" s="135">
        <v>144</v>
      </c>
      <c r="P50" s="138"/>
      <c r="Q50" s="135">
        <v>244</v>
      </c>
      <c r="R50" s="136">
        <v>644</v>
      </c>
      <c r="S50" s="145"/>
      <c r="T50" s="141"/>
      <c r="U50" s="120">
        <v>156</v>
      </c>
      <c r="V50" s="120">
        <v>256</v>
      </c>
      <c r="W50" s="239"/>
      <c r="X50" s="240"/>
      <c r="Y50" s="240"/>
      <c r="Z50" s="240"/>
      <c r="AA50" s="240"/>
      <c r="AB50" s="241"/>
    </row>
    <row r="51" spans="1:28" ht="31" x14ac:dyDescent="0.3">
      <c r="A51" s="142" t="s">
        <v>146</v>
      </c>
      <c r="B51" s="135">
        <v>109</v>
      </c>
      <c r="C51" s="135">
        <v>209</v>
      </c>
      <c r="D51" s="49">
        <v>609</v>
      </c>
      <c r="E51" s="338">
        <v>705</v>
      </c>
      <c r="F51" s="318"/>
      <c r="G51" s="135">
        <v>121</v>
      </c>
      <c r="H51" s="135">
        <v>221</v>
      </c>
      <c r="I51" s="340">
        <v>621</v>
      </c>
      <c r="J51" s="341"/>
      <c r="K51" s="319"/>
      <c r="L51" s="137">
        <v>133</v>
      </c>
      <c r="M51" s="135">
        <v>233</v>
      </c>
      <c r="N51" s="322"/>
      <c r="O51" s="135">
        <v>145</v>
      </c>
      <c r="P51" s="138"/>
      <c r="Q51" s="135">
        <v>245</v>
      </c>
      <c r="R51" s="136">
        <v>645</v>
      </c>
      <c r="S51" s="139"/>
      <c r="T51" s="141"/>
      <c r="U51" s="120">
        <v>157</v>
      </c>
      <c r="V51" s="120">
        <v>257</v>
      </c>
      <c r="W51" s="239" t="s">
        <v>147</v>
      </c>
      <c r="X51" s="240"/>
      <c r="Y51" s="240"/>
      <c r="Z51" s="240"/>
      <c r="AA51" s="240"/>
      <c r="AB51" s="241"/>
    </row>
    <row r="52" spans="1:28" ht="31" x14ac:dyDescent="0.3">
      <c r="A52" s="142" t="s">
        <v>148</v>
      </c>
      <c r="B52" s="135">
        <v>110</v>
      </c>
      <c r="C52" s="135">
        <v>210</v>
      </c>
      <c r="D52" s="49">
        <v>610</v>
      </c>
      <c r="E52" s="339"/>
      <c r="F52" s="318"/>
      <c r="G52" s="135">
        <v>122</v>
      </c>
      <c r="H52" s="135">
        <v>222</v>
      </c>
      <c r="I52" s="340">
        <v>622</v>
      </c>
      <c r="J52" s="341"/>
      <c r="K52" s="319"/>
      <c r="L52" s="135">
        <v>134</v>
      </c>
      <c r="M52" s="135">
        <v>234</v>
      </c>
      <c r="N52" s="322"/>
      <c r="O52" s="135">
        <v>146</v>
      </c>
      <c r="P52" s="138"/>
      <c r="Q52" s="135">
        <v>246</v>
      </c>
      <c r="R52" s="136">
        <v>646</v>
      </c>
      <c r="S52" s="139"/>
      <c r="T52" s="141"/>
      <c r="U52" s="120">
        <v>158</v>
      </c>
      <c r="V52" s="120">
        <v>258</v>
      </c>
      <c r="W52" s="342" t="s">
        <v>149</v>
      </c>
      <c r="X52" s="343"/>
      <c r="Y52" s="343"/>
      <c r="Z52" s="343"/>
      <c r="AA52" s="343"/>
      <c r="AB52" s="344"/>
    </row>
    <row r="53" spans="1:28" ht="15.5" x14ac:dyDescent="0.3">
      <c r="A53" s="336" t="s">
        <v>150</v>
      </c>
      <c r="B53" s="135">
        <v>111</v>
      </c>
      <c r="C53" s="135">
        <v>211</v>
      </c>
      <c r="D53" s="49">
        <v>611</v>
      </c>
      <c r="E53" s="346">
        <v>706</v>
      </c>
      <c r="F53" s="318"/>
      <c r="G53" s="135">
        <v>123</v>
      </c>
      <c r="H53" s="135">
        <v>223</v>
      </c>
      <c r="I53" s="340">
        <v>623</v>
      </c>
      <c r="J53" s="341"/>
      <c r="K53" s="319"/>
      <c r="L53" s="137">
        <v>135</v>
      </c>
      <c r="M53" s="135">
        <v>235</v>
      </c>
      <c r="N53" s="322"/>
      <c r="O53" s="135">
        <v>147</v>
      </c>
      <c r="P53" s="138"/>
      <c r="Q53" s="135">
        <v>247</v>
      </c>
      <c r="R53" s="136">
        <v>647</v>
      </c>
      <c r="S53" s="139"/>
      <c r="T53" s="141"/>
      <c r="U53" s="120">
        <v>159</v>
      </c>
      <c r="V53" s="120">
        <v>259</v>
      </c>
      <c r="W53" s="239" t="s">
        <v>151</v>
      </c>
      <c r="X53" s="240"/>
      <c r="Y53" s="240"/>
      <c r="Z53" s="240"/>
      <c r="AA53" s="240"/>
      <c r="AB53" s="241"/>
    </row>
    <row r="54" spans="1:28" ht="15.5" x14ac:dyDescent="0.3">
      <c r="A54" s="347"/>
      <c r="B54" s="143">
        <v>112</v>
      </c>
      <c r="C54" s="135">
        <v>212</v>
      </c>
      <c r="D54" s="49">
        <v>612</v>
      </c>
      <c r="E54" s="339"/>
      <c r="F54" s="318"/>
      <c r="G54" s="135">
        <v>124</v>
      </c>
      <c r="H54" s="135">
        <v>224</v>
      </c>
      <c r="I54" s="340">
        <v>624</v>
      </c>
      <c r="J54" s="341"/>
      <c r="K54" s="319"/>
      <c r="L54" s="135">
        <v>136</v>
      </c>
      <c r="M54" s="135">
        <v>236</v>
      </c>
      <c r="N54" s="322"/>
      <c r="O54" s="135">
        <v>148</v>
      </c>
      <c r="P54" s="146"/>
      <c r="Q54" s="135">
        <v>248</v>
      </c>
      <c r="R54" s="136">
        <v>648</v>
      </c>
      <c r="S54" s="147"/>
      <c r="T54" s="148"/>
      <c r="U54" s="120">
        <v>160</v>
      </c>
      <c r="V54" s="120">
        <v>260</v>
      </c>
      <c r="W54" s="239" t="s">
        <v>151</v>
      </c>
      <c r="X54" s="240"/>
      <c r="Y54" s="240"/>
      <c r="Z54" s="240"/>
      <c r="AA54" s="240"/>
      <c r="AB54" s="241"/>
    </row>
    <row r="55" spans="1:28" ht="6" customHeight="1" x14ac:dyDescent="0.35">
      <c r="A55" s="348"/>
      <c r="B55" s="349"/>
      <c r="C55" s="349"/>
      <c r="D55" s="349"/>
      <c r="E55" s="349"/>
      <c r="F55" s="349"/>
      <c r="G55" s="349"/>
      <c r="H55" s="349"/>
      <c r="I55" s="349"/>
      <c r="J55" s="349"/>
      <c r="K55" s="349"/>
      <c r="L55" s="349"/>
      <c r="M55" s="349"/>
      <c r="N55" s="349"/>
      <c r="O55" s="349"/>
      <c r="P55" s="349"/>
      <c r="Q55" s="349"/>
      <c r="R55" s="349"/>
      <c r="S55" s="349"/>
      <c r="T55" s="350"/>
      <c r="U55" s="350"/>
      <c r="V55" s="351"/>
      <c r="W55" s="352"/>
      <c r="X55" s="198"/>
      <c r="Y55" s="198"/>
      <c r="Z55" s="198"/>
      <c r="AA55" s="40"/>
      <c r="AB55" s="149"/>
    </row>
    <row r="56" spans="1:28" ht="15.5" x14ac:dyDescent="0.35">
      <c r="A56" s="353" t="s">
        <v>152</v>
      </c>
      <c r="B56" s="354"/>
      <c r="C56" s="354"/>
      <c r="D56" s="355"/>
      <c r="E56" s="356" t="s">
        <v>153</v>
      </c>
      <c r="F56" s="356"/>
      <c r="G56" s="356"/>
      <c r="H56" s="356"/>
      <c r="I56" s="356"/>
      <c r="J56" s="356"/>
      <c r="K56" s="356"/>
      <c r="L56" s="356"/>
      <c r="M56" s="356"/>
      <c r="N56" s="150"/>
      <c r="O56" s="357" t="s">
        <v>154</v>
      </c>
      <c r="P56" s="357"/>
      <c r="Q56" s="357"/>
      <c r="R56" s="357" t="s">
        <v>155</v>
      </c>
      <c r="S56" s="358"/>
      <c r="T56" s="151"/>
      <c r="U56" s="359"/>
      <c r="V56" s="360"/>
      <c r="W56" s="360"/>
      <c r="X56" s="360"/>
      <c r="Y56" s="360"/>
      <c r="Z56" s="360"/>
      <c r="AA56" s="360"/>
      <c r="AB56" s="361"/>
    </row>
    <row r="57" spans="1:28" ht="15.5" x14ac:dyDescent="0.35">
      <c r="A57" s="152" t="s">
        <v>156</v>
      </c>
      <c r="B57" s="153" t="s">
        <v>157</v>
      </c>
      <c r="C57" s="17" t="s">
        <v>6</v>
      </c>
      <c r="D57" s="355"/>
      <c r="E57" s="368" t="s">
        <v>158</v>
      </c>
      <c r="F57" s="369"/>
      <c r="G57" s="17" t="s">
        <v>159</v>
      </c>
      <c r="H57" s="17" t="s">
        <v>160</v>
      </c>
      <c r="I57" s="16"/>
      <c r="J57" s="17" t="s">
        <v>161</v>
      </c>
      <c r="K57" s="368" t="s">
        <v>162</v>
      </c>
      <c r="L57" s="369"/>
      <c r="M57" s="17" t="s">
        <v>163</v>
      </c>
      <c r="N57" s="155"/>
      <c r="O57" s="156" t="s">
        <v>5</v>
      </c>
      <c r="P57" s="156"/>
      <c r="Q57" s="3" t="s">
        <v>6</v>
      </c>
      <c r="R57" s="156" t="s">
        <v>5</v>
      </c>
      <c r="S57" s="8" t="s">
        <v>6</v>
      </c>
      <c r="T57" s="157"/>
      <c r="U57" s="362"/>
      <c r="V57" s="363"/>
      <c r="W57" s="363"/>
      <c r="X57" s="363"/>
      <c r="Y57" s="363"/>
      <c r="Z57" s="363"/>
      <c r="AA57" s="363"/>
      <c r="AB57" s="364"/>
    </row>
    <row r="58" spans="1:28" ht="15.5" x14ac:dyDescent="0.35">
      <c r="A58" s="152" t="s">
        <v>164</v>
      </c>
      <c r="B58" s="158">
        <v>74.569999999999993</v>
      </c>
      <c r="C58" s="158">
        <v>804.04</v>
      </c>
      <c r="D58" s="355"/>
      <c r="E58" s="368">
        <v>1</v>
      </c>
      <c r="F58" s="369"/>
      <c r="G58" s="156">
        <v>0</v>
      </c>
      <c r="H58" s="156">
        <v>4</v>
      </c>
      <c r="I58" s="77"/>
      <c r="J58" s="156">
        <v>0</v>
      </c>
      <c r="K58" s="159"/>
      <c r="L58" s="156">
        <v>16</v>
      </c>
      <c r="M58" s="156">
        <v>0</v>
      </c>
      <c r="N58" s="156"/>
      <c r="O58" s="156">
        <v>24</v>
      </c>
      <c r="P58" s="156"/>
      <c r="Q58" s="156">
        <v>270</v>
      </c>
      <c r="R58" s="160">
        <v>96.25</v>
      </c>
      <c r="S58" s="161">
        <v>89.97</v>
      </c>
      <c r="T58" s="162"/>
      <c r="U58" s="362"/>
      <c r="V58" s="363"/>
      <c r="W58" s="363"/>
      <c r="X58" s="363"/>
      <c r="Y58" s="363"/>
      <c r="Z58" s="363"/>
      <c r="AA58" s="363"/>
      <c r="AB58" s="364"/>
    </row>
    <row r="59" spans="1:28" ht="15.5" x14ac:dyDescent="0.35">
      <c r="A59" s="152" t="s">
        <v>165</v>
      </c>
      <c r="B59" s="158">
        <v>12.38</v>
      </c>
      <c r="C59" s="158">
        <v>131.71</v>
      </c>
      <c r="D59" s="355"/>
      <c r="E59" s="368">
        <v>2</v>
      </c>
      <c r="F59" s="369"/>
      <c r="G59" s="156">
        <v>17</v>
      </c>
      <c r="H59" s="156">
        <v>0</v>
      </c>
      <c r="I59" s="77"/>
      <c r="J59" s="156">
        <v>0</v>
      </c>
      <c r="K59" s="163"/>
      <c r="L59" s="156">
        <v>0</v>
      </c>
      <c r="M59" s="156">
        <v>0</v>
      </c>
      <c r="N59" s="156"/>
      <c r="O59" s="156">
        <v>17</v>
      </c>
      <c r="P59" s="156"/>
      <c r="Q59" s="156">
        <v>219</v>
      </c>
      <c r="R59" s="160">
        <v>79.17</v>
      </c>
      <c r="S59" s="161">
        <v>85.6</v>
      </c>
      <c r="T59" s="162"/>
      <c r="U59" s="362"/>
      <c r="V59" s="363"/>
      <c r="W59" s="363"/>
      <c r="X59" s="363"/>
      <c r="Y59" s="363"/>
      <c r="Z59" s="363"/>
      <c r="AA59" s="363"/>
      <c r="AB59" s="364"/>
    </row>
    <row r="60" spans="1:28" ht="15.5" x14ac:dyDescent="0.35">
      <c r="A60" s="152" t="s">
        <v>166</v>
      </c>
      <c r="B60" s="158">
        <v>3.75</v>
      </c>
      <c r="C60" s="158">
        <v>42.82</v>
      </c>
      <c r="D60" s="355"/>
      <c r="E60" s="368">
        <v>3</v>
      </c>
      <c r="F60" s="369"/>
      <c r="G60" s="156">
        <v>0</v>
      </c>
      <c r="H60" s="156">
        <v>2</v>
      </c>
      <c r="I60" s="77"/>
      <c r="J60" s="156">
        <v>0</v>
      </c>
      <c r="K60" s="163"/>
      <c r="L60" s="156">
        <v>15</v>
      </c>
      <c r="M60" s="156">
        <v>0</v>
      </c>
      <c r="N60" s="156"/>
      <c r="O60" s="156">
        <v>19</v>
      </c>
      <c r="P60" s="156"/>
      <c r="Q60" s="156">
        <v>251</v>
      </c>
      <c r="R60" s="160">
        <v>84.38</v>
      </c>
      <c r="S60" s="161">
        <v>86.76</v>
      </c>
      <c r="T60" s="162"/>
      <c r="U60" s="362"/>
      <c r="V60" s="363"/>
      <c r="W60" s="363"/>
      <c r="X60" s="363"/>
      <c r="Y60" s="363"/>
      <c r="Z60" s="363"/>
      <c r="AA60" s="363"/>
      <c r="AB60" s="364"/>
    </row>
    <row r="61" spans="1:28" ht="15.5" x14ac:dyDescent="0.35">
      <c r="A61" s="152" t="s">
        <v>167</v>
      </c>
      <c r="B61" s="375" t="s">
        <v>168</v>
      </c>
      <c r="C61" s="376"/>
      <c r="D61" s="355"/>
      <c r="E61" s="368" t="s">
        <v>169</v>
      </c>
      <c r="F61" s="369"/>
      <c r="G61" s="156"/>
      <c r="H61" s="78"/>
      <c r="I61" s="77"/>
      <c r="J61" s="78"/>
      <c r="K61" s="377"/>
      <c r="L61" s="378"/>
      <c r="M61" s="156"/>
      <c r="N61" s="156"/>
      <c r="O61" s="156"/>
      <c r="P61" s="156"/>
      <c r="Q61" s="156"/>
      <c r="R61" s="17"/>
      <c r="S61" s="154"/>
      <c r="T61" s="155"/>
      <c r="U61" s="365"/>
      <c r="V61" s="366"/>
      <c r="W61" s="366"/>
      <c r="X61" s="366"/>
      <c r="Y61" s="366"/>
      <c r="Z61" s="366"/>
      <c r="AA61" s="366"/>
      <c r="AB61" s="367"/>
    </row>
    <row r="62" spans="1:28" ht="4.5" customHeight="1" x14ac:dyDescent="0.35">
      <c r="A62" s="370"/>
      <c r="B62" s="198"/>
      <c r="C62" s="198"/>
      <c r="D62" s="198"/>
      <c r="E62" s="198"/>
      <c r="F62" s="198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40"/>
      <c r="U62" s="350"/>
      <c r="V62" s="350"/>
      <c r="W62" s="350"/>
      <c r="X62" s="350"/>
      <c r="Y62" s="350"/>
      <c r="Z62" s="350"/>
      <c r="AA62" s="350"/>
      <c r="AB62" s="371"/>
    </row>
    <row r="63" spans="1:28" ht="16" thickBot="1" x14ac:dyDescent="0.4">
      <c r="A63" s="372" t="s">
        <v>170</v>
      </c>
      <c r="B63" s="373"/>
      <c r="C63" s="373"/>
      <c r="D63" s="373"/>
      <c r="E63" s="373"/>
      <c r="F63" s="373"/>
      <c r="G63" s="373"/>
      <c r="H63" s="373"/>
      <c r="I63" s="373"/>
      <c r="J63" s="373"/>
      <c r="K63" s="373"/>
      <c r="L63" s="373"/>
      <c r="M63" s="373"/>
      <c r="N63" s="373"/>
      <c r="O63" s="373"/>
      <c r="P63" s="373"/>
      <c r="Q63" s="373"/>
      <c r="R63" s="373"/>
      <c r="S63" s="373"/>
      <c r="T63" s="373"/>
      <c r="U63" s="373"/>
      <c r="V63" s="373"/>
      <c r="W63" s="373"/>
      <c r="X63" s="373"/>
      <c r="Y63" s="373"/>
      <c r="Z63" s="373"/>
      <c r="AA63" s="373"/>
      <c r="AB63" s="374"/>
    </row>
    <row r="67" spans="27:27" x14ac:dyDescent="0.3">
      <c r="AA67" s="164"/>
    </row>
  </sheetData>
  <mergeCells count="189">
    <mergeCell ref="A62:S62"/>
    <mergeCell ref="U62:AB62"/>
    <mergeCell ref="A63:AB63"/>
    <mergeCell ref="K57:L57"/>
    <mergeCell ref="E58:F58"/>
    <mergeCell ref="E59:F59"/>
    <mergeCell ref="E60:F60"/>
    <mergeCell ref="B61:C61"/>
    <mergeCell ref="E61:F61"/>
    <mergeCell ref="K61:L61"/>
    <mergeCell ref="A55:V55"/>
    <mergeCell ref="W55:Z55"/>
    <mergeCell ref="A56:C56"/>
    <mergeCell ref="D56:D61"/>
    <mergeCell ref="E56:M56"/>
    <mergeCell ref="O56:Q56"/>
    <mergeCell ref="R56:S56"/>
    <mergeCell ref="U56:AB61"/>
    <mergeCell ref="E57:F57"/>
    <mergeCell ref="W51:AB51"/>
    <mergeCell ref="I52:J52"/>
    <mergeCell ref="W52:AB52"/>
    <mergeCell ref="A53:A54"/>
    <mergeCell ref="E53:E54"/>
    <mergeCell ref="I53:J53"/>
    <mergeCell ref="W53:AB53"/>
    <mergeCell ref="I54:J54"/>
    <mergeCell ref="W54:AB54"/>
    <mergeCell ref="W49:AB49"/>
    <mergeCell ref="I50:J50"/>
    <mergeCell ref="W50:AB50"/>
    <mergeCell ref="E45:E46"/>
    <mergeCell ref="I45:J45"/>
    <mergeCell ref="W45:AB45"/>
    <mergeCell ref="I46:J46"/>
    <mergeCell ref="W46:AB46"/>
    <mergeCell ref="E47:E48"/>
    <mergeCell ref="I47:J47"/>
    <mergeCell ref="W47:AB47"/>
    <mergeCell ref="I48:J48"/>
    <mergeCell ref="W48:AB48"/>
    <mergeCell ref="W41:AB42"/>
    <mergeCell ref="I42:J42"/>
    <mergeCell ref="T42:U42"/>
    <mergeCell ref="A43:A44"/>
    <mergeCell ref="E43:E44"/>
    <mergeCell ref="I43:J43"/>
    <mergeCell ref="W43:AB43"/>
    <mergeCell ref="I44:J44"/>
    <mergeCell ref="W44:AB44"/>
    <mergeCell ref="A40:V40"/>
    <mergeCell ref="A41:A42"/>
    <mergeCell ref="B41:D41"/>
    <mergeCell ref="E41:E42"/>
    <mergeCell ref="F41:F54"/>
    <mergeCell ref="G41:J41"/>
    <mergeCell ref="K41:K54"/>
    <mergeCell ref="L41:M41"/>
    <mergeCell ref="N41:N54"/>
    <mergeCell ref="O41:R41"/>
    <mergeCell ref="S41:V41"/>
    <mergeCell ref="A49:A50"/>
    <mergeCell ref="E49:E50"/>
    <mergeCell ref="I49:J49"/>
    <mergeCell ref="E51:E52"/>
    <mergeCell ref="I51:J51"/>
    <mergeCell ref="A35:Z35"/>
    <mergeCell ref="F36:G36"/>
    <mergeCell ref="I36:I39"/>
    <mergeCell ref="J36:L36"/>
    <mergeCell ref="M36:O36"/>
    <mergeCell ref="Q36:R36"/>
    <mergeCell ref="S36:U36"/>
    <mergeCell ref="F37:G37"/>
    <mergeCell ref="J37:L37"/>
    <mergeCell ref="N37:N39"/>
    <mergeCell ref="T37:U37"/>
    <mergeCell ref="V37:AB39"/>
    <mergeCell ref="F38:G38"/>
    <mergeCell ref="J38:L38"/>
    <mergeCell ref="T38:U38"/>
    <mergeCell ref="F39:G39"/>
    <mergeCell ref="J39:L39"/>
    <mergeCell ref="T39:U39"/>
    <mergeCell ref="A34:B34"/>
    <mergeCell ref="D34:E34"/>
    <mergeCell ref="H34:J34"/>
    <mergeCell ref="R34:S34"/>
    <mergeCell ref="V34:W34"/>
    <mergeCell ref="AB28:AB34"/>
    <mergeCell ref="A29:B29"/>
    <mergeCell ref="I29:J29"/>
    <mergeCell ref="A30:B30"/>
    <mergeCell ref="I30:J30"/>
    <mergeCell ref="A31:B31"/>
    <mergeCell ref="I31:J31"/>
    <mergeCell ref="A32:B32"/>
    <mergeCell ref="I32:J32"/>
    <mergeCell ref="A33:B33"/>
    <mergeCell ref="Z34:AA34"/>
    <mergeCell ref="A28:B28"/>
    <mergeCell ref="I28:J28"/>
    <mergeCell ref="I22:J22"/>
    <mergeCell ref="A23:B23"/>
    <mergeCell ref="I23:J23"/>
    <mergeCell ref="A24:B24"/>
    <mergeCell ref="I24:J24"/>
    <mergeCell ref="I25:J25"/>
    <mergeCell ref="I33:J33"/>
    <mergeCell ref="Y17:AA17"/>
    <mergeCell ref="I18:J18"/>
    <mergeCell ref="AB18:AB27"/>
    <mergeCell ref="A19:B19"/>
    <mergeCell ref="I19:J19"/>
    <mergeCell ref="A20:B20"/>
    <mergeCell ref="I20:J20"/>
    <mergeCell ref="A21:B21"/>
    <mergeCell ref="I21:J21"/>
    <mergeCell ref="A22:B22"/>
    <mergeCell ref="A17:B18"/>
    <mergeCell ref="C17:E17"/>
    <mergeCell ref="G17:J17"/>
    <mergeCell ref="L17:O17"/>
    <mergeCell ref="Q17:S17"/>
    <mergeCell ref="U17:W17"/>
    <mergeCell ref="A26:B26"/>
    <mergeCell ref="I26:J26"/>
    <mergeCell ref="A27:B27"/>
    <mergeCell ref="I27:J27"/>
    <mergeCell ref="A16:V16"/>
    <mergeCell ref="I12:J12"/>
    <mergeCell ref="N12:O12"/>
    <mergeCell ref="T12:T15"/>
    <mergeCell ref="U12:U14"/>
    <mergeCell ref="V12:AB14"/>
    <mergeCell ref="A13:B13"/>
    <mergeCell ref="I13:J13"/>
    <mergeCell ref="N13:O13"/>
    <mergeCell ref="A14:B14"/>
    <mergeCell ref="I14:J14"/>
    <mergeCell ref="A10:V10"/>
    <mergeCell ref="A11:B12"/>
    <mergeCell ref="C11:E11"/>
    <mergeCell ref="F11:F15"/>
    <mergeCell ref="G11:J11"/>
    <mergeCell ref="L11:O11"/>
    <mergeCell ref="Q11:S11"/>
    <mergeCell ref="U11:AB11"/>
    <mergeCell ref="N14:O14"/>
    <mergeCell ref="A15:B15"/>
    <mergeCell ref="I15:J15"/>
    <mergeCell ref="N15:O15"/>
    <mergeCell ref="V15:AB15"/>
    <mergeCell ref="A4:B4"/>
    <mergeCell ref="G4:I4"/>
    <mergeCell ref="L4:M4"/>
    <mergeCell ref="P4:Q4"/>
    <mergeCell ref="T4:T9"/>
    <mergeCell ref="U4:AB9"/>
    <mergeCell ref="A5:B5"/>
    <mergeCell ref="G5:I5"/>
    <mergeCell ref="A7:B7"/>
    <mergeCell ref="G7:I7"/>
    <mergeCell ref="L7:M7"/>
    <mergeCell ref="P7:Q7"/>
    <mergeCell ref="A8:B8"/>
    <mergeCell ref="G8:H8"/>
    <mergeCell ref="L8:M8"/>
    <mergeCell ref="P8:Q8"/>
    <mergeCell ref="L5:M5"/>
    <mergeCell ref="P5:Q5"/>
    <mergeCell ref="A6:B6"/>
    <mergeCell ref="G6:I6"/>
    <mergeCell ref="L6:M6"/>
    <mergeCell ref="P6:Q6"/>
    <mergeCell ref="L9:M9"/>
    <mergeCell ref="P9:Q9"/>
    <mergeCell ref="C1:J1"/>
    <mergeCell ref="K1:O1"/>
    <mergeCell ref="W1:AB2"/>
    <mergeCell ref="C3:D3"/>
    <mergeCell ref="E3:E4"/>
    <mergeCell ref="F3:F8"/>
    <mergeCell ref="G3:J3"/>
    <mergeCell ref="K3:K8"/>
    <mergeCell ref="L3:M3"/>
    <mergeCell ref="N3:N8"/>
    <mergeCell ref="P3:Q3"/>
    <mergeCell ref="U3:A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366BB-6305-4250-A606-49E07F2A79EC}">
  <dimension ref="A1:C315"/>
  <sheetViews>
    <sheetView tabSelected="1" workbookViewId="0">
      <selection activeCell="B2" sqref="B2"/>
    </sheetView>
  </sheetViews>
  <sheetFormatPr defaultRowHeight="14.5" x14ac:dyDescent="0.35"/>
  <cols>
    <col min="1" max="1" width="14.08984375" bestFit="1" customWidth="1"/>
    <col min="2" max="2" width="13.26953125" bestFit="1" customWidth="1"/>
    <col min="3" max="3" width="19.7265625" customWidth="1"/>
  </cols>
  <sheetData>
    <row r="1" spans="1:3" x14ac:dyDescent="0.35">
      <c r="A1" t="s">
        <v>182</v>
      </c>
      <c r="B1" t="s">
        <v>200</v>
      </c>
      <c r="C1" t="s">
        <v>188</v>
      </c>
    </row>
    <row r="2" spans="1:3" x14ac:dyDescent="0.35">
      <c r="A2" s="379">
        <v>45823</v>
      </c>
      <c r="B2">
        <v>101</v>
      </c>
      <c r="C2">
        <v>445.08</v>
      </c>
    </row>
    <row r="3" spans="1:3" x14ac:dyDescent="0.35">
      <c r="A3" s="379">
        <v>45823</v>
      </c>
      <c r="B3">
        <v>102</v>
      </c>
      <c r="C3">
        <v>709.29</v>
      </c>
    </row>
    <row r="4" spans="1:3" x14ac:dyDescent="0.35">
      <c r="A4" s="379">
        <v>45823</v>
      </c>
      <c r="B4">
        <v>103</v>
      </c>
      <c r="C4">
        <v>483.71</v>
      </c>
    </row>
    <row r="5" spans="1:3" x14ac:dyDescent="0.35">
      <c r="A5" s="379">
        <v>45823</v>
      </c>
      <c r="B5">
        <v>104</v>
      </c>
      <c r="C5">
        <v>522.54</v>
      </c>
    </row>
    <row r="6" spans="1:3" x14ac:dyDescent="0.35">
      <c r="A6" s="379">
        <v>45823</v>
      </c>
      <c r="B6">
        <v>105</v>
      </c>
      <c r="C6">
        <v>522.51</v>
      </c>
    </row>
    <row r="7" spans="1:3" x14ac:dyDescent="0.35">
      <c r="A7" s="379">
        <v>45823</v>
      </c>
      <c r="B7">
        <v>106</v>
      </c>
      <c r="C7">
        <v>501.95</v>
      </c>
    </row>
    <row r="8" spans="1:3" x14ac:dyDescent="0.35">
      <c r="A8" s="379">
        <v>45823</v>
      </c>
      <c r="B8">
        <v>107</v>
      </c>
      <c r="C8">
        <v>558.82000000000005</v>
      </c>
    </row>
    <row r="9" spans="1:3" x14ac:dyDescent="0.35">
      <c r="A9" s="379">
        <v>45823</v>
      </c>
      <c r="B9">
        <v>108</v>
      </c>
      <c r="C9">
        <v>441.11</v>
      </c>
    </row>
    <row r="10" spans="1:3" x14ac:dyDescent="0.35">
      <c r="A10" s="379">
        <v>45823</v>
      </c>
      <c r="B10">
        <v>109</v>
      </c>
      <c r="C10">
        <v>192.04</v>
      </c>
    </row>
    <row r="11" spans="1:3" x14ac:dyDescent="0.35">
      <c r="A11" s="379">
        <v>45823</v>
      </c>
      <c r="B11">
        <v>110</v>
      </c>
      <c r="C11">
        <v>733.5</v>
      </c>
    </row>
    <row r="12" spans="1:3" x14ac:dyDescent="0.35">
      <c r="A12" s="379">
        <v>45823</v>
      </c>
      <c r="B12">
        <v>111</v>
      </c>
      <c r="C12">
        <v>517.92999999999995</v>
      </c>
    </row>
    <row r="13" spans="1:3" x14ac:dyDescent="0.35">
      <c r="A13" s="379">
        <v>45823</v>
      </c>
      <c r="B13">
        <v>112</v>
      </c>
      <c r="C13">
        <v>276.79000000000002</v>
      </c>
    </row>
    <row r="14" spans="1:3" x14ac:dyDescent="0.35">
      <c r="A14" s="379">
        <v>45823</v>
      </c>
      <c r="B14">
        <v>113</v>
      </c>
      <c r="C14">
        <v>21.29</v>
      </c>
    </row>
    <row r="15" spans="1:3" x14ac:dyDescent="0.35">
      <c r="A15" s="379">
        <v>45823</v>
      </c>
      <c r="B15">
        <v>114</v>
      </c>
      <c r="C15">
        <v>36.06</v>
      </c>
    </row>
    <row r="16" spans="1:3" x14ac:dyDescent="0.35">
      <c r="A16" s="379">
        <v>45823</v>
      </c>
      <c r="B16">
        <v>115</v>
      </c>
      <c r="C16">
        <v>22.83</v>
      </c>
    </row>
    <row r="17" spans="1:3" x14ac:dyDescent="0.35">
      <c r="A17" s="379">
        <v>45823</v>
      </c>
      <c r="B17">
        <v>116</v>
      </c>
      <c r="C17">
        <v>25.87</v>
      </c>
    </row>
    <row r="18" spans="1:3" x14ac:dyDescent="0.35">
      <c r="A18" s="379">
        <v>45823</v>
      </c>
      <c r="B18">
        <v>117</v>
      </c>
      <c r="C18">
        <v>27.74</v>
      </c>
    </row>
    <row r="19" spans="1:3" x14ac:dyDescent="0.35">
      <c r="A19" s="379">
        <v>45823</v>
      </c>
      <c r="B19">
        <v>118</v>
      </c>
      <c r="C19">
        <v>29.94</v>
      </c>
    </row>
    <row r="20" spans="1:3" x14ac:dyDescent="0.35">
      <c r="A20" s="379">
        <v>45823</v>
      </c>
      <c r="B20">
        <v>119</v>
      </c>
      <c r="C20">
        <v>25.47</v>
      </c>
    </row>
    <row r="21" spans="1:3" x14ac:dyDescent="0.35">
      <c r="A21" s="379">
        <v>45823</v>
      </c>
      <c r="B21">
        <v>120</v>
      </c>
      <c r="C21">
        <v>21.06</v>
      </c>
    </row>
    <row r="22" spans="1:3" x14ac:dyDescent="0.35">
      <c r="A22" s="379">
        <v>45823</v>
      </c>
      <c r="B22">
        <v>121</v>
      </c>
      <c r="C22">
        <v>14.28</v>
      </c>
    </row>
    <row r="23" spans="1:3" x14ac:dyDescent="0.35">
      <c r="A23" s="379">
        <v>45823</v>
      </c>
      <c r="B23">
        <v>122</v>
      </c>
      <c r="C23">
        <v>40.68</v>
      </c>
    </row>
    <row r="24" spans="1:3" x14ac:dyDescent="0.35">
      <c r="A24" s="379">
        <v>45823</v>
      </c>
      <c r="B24">
        <v>123</v>
      </c>
      <c r="C24">
        <v>26.67</v>
      </c>
    </row>
    <row r="25" spans="1:3" x14ac:dyDescent="0.35">
      <c r="A25" s="379">
        <v>45823</v>
      </c>
      <c r="B25">
        <v>124</v>
      </c>
      <c r="C25">
        <v>23.73</v>
      </c>
    </row>
    <row r="26" spans="1:3" x14ac:dyDescent="0.35">
      <c r="A26" s="379">
        <v>45823</v>
      </c>
      <c r="B26">
        <v>125</v>
      </c>
      <c r="C26">
        <v>0</v>
      </c>
    </row>
    <row r="27" spans="1:3" x14ac:dyDescent="0.35">
      <c r="A27" s="379">
        <v>45823</v>
      </c>
      <c r="B27">
        <v>126</v>
      </c>
      <c r="C27">
        <v>0</v>
      </c>
    </row>
    <row r="28" spans="1:3" x14ac:dyDescent="0.35">
      <c r="A28" s="379">
        <v>45823</v>
      </c>
      <c r="B28">
        <v>127</v>
      </c>
      <c r="C28">
        <v>105.51</v>
      </c>
    </row>
    <row r="29" spans="1:3" x14ac:dyDescent="0.35">
      <c r="A29" s="379">
        <v>45823</v>
      </c>
      <c r="B29">
        <v>128</v>
      </c>
      <c r="C29">
        <v>108.14</v>
      </c>
    </row>
    <row r="30" spans="1:3" x14ac:dyDescent="0.35">
      <c r="A30" s="379">
        <v>45823</v>
      </c>
      <c r="B30">
        <v>129</v>
      </c>
      <c r="C30">
        <v>113.13</v>
      </c>
    </row>
    <row r="31" spans="1:3" x14ac:dyDescent="0.35">
      <c r="A31" s="379">
        <v>45823</v>
      </c>
      <c r="B31">
        <v>130</v>
      </c>
      <c r="C31">
        <v>99.22</v>
      </c>
    </row>
    <row r="32" spans="1:3" x14ac:dyDescent="0.35">
      <c r="A32" s="379">
        <v>45823</v>
      </c>
      <c r="B32">
        <v>131</v>
      </c>
      <c r="C32">
        <v>0</v>
      </c>
    </row>
    <row r="33" spans="1:3" x14ac:dyDescent="0.35">
      <c r="A33" s="379">
        <v>45823</v>
      </c>
      <c r="B33">
        <v>132</v>
      </c>
      <c r="C33">
        <v>0</v>
      </c>
    </row>
    <row r="34" spans="1:3" x14ac:dyDescent="0.35">
      <c r="A34" s="379">
        <v>45823</v>
      </c>
      <c r="B34">
        <v>133</v>
      </c>
      <c r="C34">
        <v>0</v>
      </c>
    </row>
    <row r="35" spans="1:3" x14ac:dyDescent="0.35">
      <c r="A35" s="379">
        <v>45823</v>
      </c>
      <c r="B35">
        <v>134</v>
      </c>
      <c r="C35">
        <v>0</v>
      </c>
    </row>
    <row r="36" spans="1:3" x14ac:dyDescent="0.35">
      <c r="A36" s="379">
        <v>45823</v>
      </c>
      <c r="B36">
        <v>135</v>
      </c>
      <c r="C36">
        <v>0</v>
      </c>
    </row>
    <row r="37" spans="1:3" x14ac:dyDescent="0.35">
      <c r="A37" s="379">
        <v>45823</v>
      </c>
      <c r="B37">
        <v>136</v>
      </c>
      <c r="C37">
        <v>0</v>
      </c>
    </row>
    <row r="38" spans="1:3" x14ac:dyDescent="0.35">
      <c r="A38" s="379">
        <v>45823</v>
      </c>
      <c r="B38">
        <v>137</v>
      </c>
      <c r="C38">
        <v>82.3</v>
      </c>
    </row>
    <row r="39" spans="1:3" x14ac:dyDescent="0.35">
      <c r="A39" s="379">
        <v>45823</v>
      </c>
      <c r="B39">
        <v>138</v>
      </c>
      <c r="C39">
        <v>78.47</v>
      </c>
    </row>
    <row r="40" spans="1:3" x14ac:dyDescent="0.35">
      <c r="A40" s="379">
        <v>45823</v>
      </c>
      <c r="B40">
        <v>139</v>
      </c>
      <c r="C40">
        <v>88.26</v>
      </c>
    </row>
    <row r="41" spans="1:3" x14ac:dyDescent="0.35">
      <c r="A41" s="379">
        <v>45823</v>
      </c>
      <c r="B41">
        <v>140</v>
      </c>
      <c r="C41">
        <v>84.17</v>
      </c>
    </row>
    <row r="42" spans="1:3" x14ac:dyDescent="0.35">
      <c r="A42" s="379">
        <v>45823</v>
      </c>
      <c r="B42">
        <v>141</v>
      </c>
      <c r="C42">
        <v>78.47</v>
      </c>
    </row>
    <row r="43" spans="1:3" x14ac:dyDescent="0.35">
      <c r="A43" s="379">
        <v>45823</v>
      </c>
      <c r="B43">
        <v>142</v>
      </c>
      <c r="C43">
        <v>69.86</v>
      </c>
    </row>
    <row r="44" spans="1:3" x14ac:dyDescent="0.35">
      <c r="A44" s="379">
        <v>45823</v>
      </c>
      <c r="B44">
        <v>143</v>
      </c>
      <c r="C44">
        <v>91.44</v>
      </c>
    </row>
    <row r="45" spans="1:3" x14ac:dyDescent="0.35">
      <c r="A45" s="379">
        <v>45823</v>
      </c>
      <c r="B45">
        <v>144</v>
      </c>
      <c r="C45">
        <v>87.29</v>
      </c>
    </row>
    <row r="46" spans="1:3" x14ac:dyDescent="0.35">
      <c r="A46" s="379">
        <v>45823</v>
      </c>
      <c r="B46">
        <v>145</v>
      </c>
      <c r="C46">
        <v>56.04</v>
      </c>
    </row>
    <row r="47" spans="1:3" x14ac:dyDescent="0.35">
      <c r="A47" s="379">
        <v>45823</v>
      </c>
      <c r="B47">
        <v>146</v>
      </c>
      <c r="C47">
        <v>74.58</v>
      </c>
    </row>
    <row r="48" spans="1:3" x14ac:dyDescent="0.35">
      <c r="A48" s="379">
        <v>45823</v>
      </c>
      <c r="B48">
        <v>147</v>
      </c>
      <c r="C48">
        <v>80.900000000000006</v>
      </c>
    </row>
    <row r="49" spans="1:3" x14ac:dyDescent="0.35">
      <c r="A49" s="379">
        <v>45823</v>
      </c>
      <c r="B49">
        <v>148</v>
      </c>
      <c r="C49">
        <v>48.61</v>
      </c>
    </row>
    <row r="50" spans="1:3" x14ac:dyDescent="0.35">
      <c r="A50" s="379">
        <v>45823</v>
      </c>
      <c r="B50">
        <v>149</v>
      </c>
      <c r="C50">
        <v>99</v>
      </c>
    </row>
    <row r="51" spans="1:3" x14ac:dyDescent="0.35">
      <c r="A51" s="379">
        <v>45823</v>
      </c>
      <c r="B51">
        <v>150</v>
      </c>
      <c r="C51">
        <v>98.1</v>
      </c>
    </row>
    <row r="52" spans="1:3" x14ac:dyDescent="0.35">
      <c r="A52" s="379">
        <v>45823</v>
      </c>
      <c r="B52">
        <v>151</v>
      </c>
      <c r="C52">
        <v>98.9</v>
      </c>
    </row>
    <row r="53" spans="1:3" x14ac:dyDescent="0.35">
      <c r="A53" s="379">
        <v>45823</v>
      </c>
      <c r="B53">
        <v>152</v>
      </c>
      <c r="C53">
        <v>98.6</v>
      </c>
    </row>
    <row r="54" spans="1:3" x14ac:dyDescent="0.35">
      <c r="A54" s="379">
        <v>45823</v>
      </c>
      <c r="B54">
        <v>153</v>
      </c>
      <c r="C54">
        <v>97.5</v>
      </c>
    </row>
    <row r="55" spans="1:3" x14ac:dyDescent="0.35">
      <c r="A55" s="379">
        <v>45823</v>
      </c>
      <c r="B55">
        <v>154</v>
      </c>
      <c r="C55">
        <v>98.1</v>
      </c>
    </row>
    <row r="56" spans="1:3" x14ac:dyDescent="0.35">
      <c r="A56" s="379">
        <v>45823</v>
      </c>
      <c r="B56">
        <v>155</v>
      </c>
      <c r="C56">
        <v>100</v>
      </c>
    </row>
    <row r="57" spans="1:3" x14ac:dyDescent="0.35">
      <c r="A57" s="379">
        <v>45823</v>
      </c>
      <c r="B57">
        <v>156</v>
      </c>
      <c r="C57">
        <v>100</v>
      </c>
    </row>
    <row r="58" spans="1:3" x14ac:dyDescent="0.35">
      <c r="A58" s="379">
        <v>45823</v>
      </c>
      <c r="B58">
        <v>157</v>
      </c>
      <c r="C58">
        <v>97.7</v>
      </c>
    </row>
    <row r="59" spans="1:3" x14ac:dyDescent="0.35">
      <c r="A59" s="379">
        <v>45823</v>
      </c>
      <c r="B59">
        <v>158</v>
      </c>
      <c r="C59">
        <v>98.4</v>
      </c>
    </row>
    <row r="60" spans="1:3" x14ac:dyDescent="0.35">
      <c r="A60" s="379">
        <v>45823</v>
      </c>
      <c r="B60">
        <v>159</v>
      </c>
      <c r="C60">
        <v>96.5</v>
      </c>
    </row>
    <row r="61" spans="1:3" x14ac:dyDescent="0.35">
      <c r="A61" s="379">
        <v>45823</v>
      </c>
      <c r="B61">
        <v>160</v>
      </c>
      <c r="C61">
        <v>94.2</v>
      </c>
    </row>
    <row r="62" spans="1:3" x14ac:dyDescent="0.35">
      <c r="A62" s="379">
        <v>45823</v>
      </c>
      <c r="B62">
        <v>161</v>
      </c>
      <c r="C62">
        <v>89.39</v>
      </c>
    </row>
    <row r="63" spans="1:3" x14ac:dyDescent="0.35">
      <c r="A63" s="379">
        <v>45823</v>
      </c>
      <c r="B63">
        <v>162</v>
      </c>
      <c r="C63">
        <v>667.01</v>
      </c>
    </row>
    <row r="64" spans="1:3" x14ac:dyDescent="0.35">
      <c r="A64" s="379">
        <v>45823</v>
      </c>
      <c r="B64">
        <v>163</v>
      </c>
      <c r="C64">
        <v>11841.42</v>
      </c>
    </row>
    <row r="65" spans="1:3" x14ac:dyDescent="0.35">
      <c r="A65" s="379">
        <v>45823</v>
      </c>
      <c r="B65">
        <v>164</v>
      </c>
      <c r="C65">
        <v>71171.81</v>
      </c>
    </row>
    <row r="66" spans="1:3" x14ac:dyDescent="0.35">
      <c r="A66" s="379">
        <v>45823</v>
      </c>
      <c r="B66">
        <v>165</v>
      </c>
    </row>
    <row r="67" spans="1:3" x14ac:dyDescent="0.35">
      <c r="A67" s="379">
        <v>45823</v>
      </c>
      <c r="B67">
        <v>166</v>
      </c>
      <c r="C67">
        <v>37.729999999999997</v>
      </c>
    </row>
    <row r="68" spans="1:3" x14ac:dyDescent="0.35">
      <c r="A68" s="379">
        <v>45823</v>
      </c>
      <c r="B68">
        <v>167</v>
      </c>
      <c r="C68">
        <v>192.36</v>
      </c>
    </row>
    <row r="69" spans="1:3" x14ac:dyDescent="0.35">
      <c r="A69" s="379">
        <v>45823</v>
      </c>
      <c r="B69">
        <v>168</v>
      </c>
    </row>
    <row r="70" spans="1:3" x14ac:dyDescent="0.35">
      <c r="A70" s="379">
        <v>45823</v>
      </c>
      <c r="B70">
        <v>169</v>
      </c>
      <c r="C70">
        <v>427.96</v>
      </c>
    </row>
    <row r="71" spans="1:3" x14ac:dyDescent="0.35">
      <c r="A71" s="379">
        <v>45823</v>
      </c>
      <c r="B71">
        <v>170</v>
      </c>
      <c r="C71">
        <v>1797.43</v>
      </c>
    </row>
    <row r="72" spans="1:3" x14ac:dyDescent="0.35">
      <c r="A72" s="379">
        <v>45823</v>
      </c>
      <c r="B72">
        <v>171</v>
      </c>
    </row>
    <row r="73" spans="1:3" x14ac:dyDescent="0.35">
      <c r="A73" s="379">
        <v>45823</v>
      </c>
      <c r="B73">
        <v>172</v>
      </c>
    </row>
    <row r="74" spans="1:3" x14ac:dyDescent="0.35">
      <c r="A74" s="379">
        <v>45823</v>
      </c>
      <c r="B74">
        <v>173</v>
      </c>
    </row>
    <row r="75" spans="1:3" x14ac:dyDescent="0.35">
      <c r="A75" s="379">
        <v>45823</v>
      </c>
      <c r="B75">
        <v>201</v>
      </c>
      <c r="C75">
        <v>8351.92</v>
      </c>
    </row>
    <row r="76" spans="1:3" x14ac:dyDescent="0.35">
      <c r="A76" s="379">
        <v>45823</v>
      </c>
      <c r="B76">
        <v>202</v>
      </c>
      <c r="C76">
        <v>8588.73</v>
      </c>
    </row>
    <row r="77" spans="1:3" x14ac:dyDescent="0.35">
      <c r="A77" s="379">
        <v>45823</v>
      </c>
      <c r="B77">
        <v>203</v>
      </c>
      <c r="C77">
        <v>6649.1</v>
      </c>
    </row>
    <row r="78" spans="1:3" x14ac:dyDescent="0.35">
      <c r="A78" s="379">
        <v>45823</v>
      </c>
      <c r="B78">
        <v>204</v>
      </c>
      <c r="C78">
        <v>8249.74</v>
      </c>
    </row>
    <row r="79" spans="1:3" x14ac:dyDescent="0.35">
      <c r="A79" s="379">
        <v>45823</v>
      </c>
      <c r="B79">
        <v>205</v>
      </c>
      <c r="C79">
        <v>6507.96</v>
      </c>
    </row>
    <row r="80" spans="1:3" x14ac:dyDescent="0.35">
      <c r="A80" s="379">
        <v>45823</v>
      </c>
      <c r="B80">
        <v>206</v>
      </c>
      <c r="C80">
        <v>7595.02</v>
      </c>
    </row>
    <row r="81" spans="1:3" x14ac:dyDescent="0.35">
      <c r="A81" s="379">
        <v>45823</v>
      </c>
      <c r="B81">
        <v>207</v>
      </c>
      <c r="C81">
        <v>6318.53</v>
      </c>
    </row>
    <row r="82" spans="1:3" x14ac:dyDescent="0.35">
      <c r="A82" s="379">
        <v>45823</v>
      </c>
      <c r="B82">
        <v>208</v>
      </c>
      <c r="C82">
        <v>7542.45</v>
      </c>
    </row>
    <row r="83" spans="1:3" x14ac:dyDescent="0.35">
      <c r="A83" s="379">
        <v>45823</v>
      </c>
      <c r="B83">
        <v>209</v>
      </c>
      <c r="C83">
        <v>5105.04</v>
      </c>
    </row>
    <row r="84" spans="1:3" x14ac:dyDescent="0.35">
      <c r="A84" s="379">
        <v>45823</v>
      </c>
      <c r="B84">
        <v>210</v>
      </c>
      <c r="C84">
        <v>9174.68</v>
      </c>
    </row>
    <row r="85" spans="1:3" x14ac:dyDescent="0.35">
      <c r="A85" s="379">
        <v>45823</v>
      </c>
      <c r="B85">
        <v>211</v>
      </c>
      <c r="C85">
        <v>6951.83</v>
      </c>
    </row>
    <row r="86" spans="1:3" x14ac:dyDescent="0.35">
      <c r="A86" s="379">
        <v>45823</v>
      </c>
      <c r="B86">
        <v>212</v>
      </c>
      <c r="C86">
        <v>5904.95</v>
      </c>
    </row>
    <row r="87" spans="1:3" x14ac:dyDescent="0.35">
      <c r="A87" s="379">
        <v>45823</v>
      </c>
      <c r="B87">
        <v>213</v>
      </c>
      <c r="C87">
        <v>28.67</v>
      </c>
    </row>
    <row r="88" spans="1:3" x14ac:dyDescent="0.35">
      <c r="A88" s="379">
        <v>45823</v>
      </c>
      <c r="B88">
        <v>214</v>
      </c>
      <c r="C88">
        <v>32.5</v>
      </c>
    </row>
    <row r="89" spans="1:3" x14ac:dyDescent="0.35">
      <c r="A89" s="379">
        <v>45823</v>
      </c>
      <c r="B89">
        <v>215</v>
      </c>
      <c r="C89">
        <v>27.72</v>
      </c>
    </row>
    <row r="90" spans="1:3" x14ac:dyDescent="0.35">
      <c r="A90" s="379">
        <v>45823</v>
      </c>
      <c r="B90">
        <v>216</v>
      </c>
      <c r="C90">
        <v>29.53</v>
      </c>
    </row>
    <row r="91" spans="1:3" x14ac:dyDescent="0.35">
      <c r="A91" s="379">
        <v>45823</v>
      </c>
      <c r="B91">
        <v>217</v>
      </c>
      <c r="C91">
        <v>30.21</v>
      </c>
    </row>
    <row r="92" spans="1:3" x14ac:dyDescent="0.35">
      <c r="A92" s="379">
        <v>45823</v>
      </c>
      <c r="B92">
        <v>218</v>
      </c>
      <c r="C92">
        <v>29.17</v>
      </c>
    </row>
    <row r="93" spans="1:3" x14ac:dyDescent="0.35">
      <c r="A93" s="379">
        <v>45823</v>
      </c>
      <c r="B93">
        <v>219</v>
      </c>
      <c r="C93">
        <v>22.41</v>
      </c>
    </row>
    <row r="94" spans="1:3" x14ac:dyDescent="0.35">
      <c r="A94" s="379">
        <v>45823</v>
      </c>
      <c r="B94">
        <v>220</v>
      </c>
      <c r="C94">
        <v>28.01</v>
      </c>
    </row>
    <row r="95" spans="1:3" x14ac:dyDescent="0.35">
      <c r="A95" s="379">
        <v>45823</v>
      </c>
      <c r="B95">
        <v>221</v>
      </c>
      <c r="C95">
        <v>24.06</v>
      </c>
    </row>
    <row r="96" spans="1:3" x14ac:dyDescent="0.35">
      <c r="A96" s="379">
        <v>45823</v>
      </c>
      <c r="B96">
        <v>222</v>
      </c>
      <c r="C96">
        <v>31.01</v>
      </c>
    </row>
    <row r="97" spans="1:3" x14ac:dyDescent="0.35">
      <c r="A97" s="379">
        <v>45823</v>
      </c>
      <c r="B97">
        <v>223</v>
      </c>
      <c r="C97">
        <v>27.1</v>
      </c>
    </row>
    <row r="98" spans="1:3" x14ac:dyDescent="0.35">
      <c r="A98" s="379">
        <v>45823</v>
      </c>
      <c r="B98">
        <v>224</v>
      </c>
      <c r="C98">
        <v>29.39</v>
      </c>
    </row>
    <row r="99" spans="1:3" x14ac:dyDescent="0.35">
      <c r="A99" s="379">
        <v>45823</v>
      </c>
      <c r="B99">
        <v>225</v>
      </c>
      <c r="C99">
        <v>0</v>
      </c>
    </row>
    <row r="100" spans="1:3" x14ac:dyDescent="0.35">
      <c r="A100" s="379">
        <v>45823</v>
      </c>
      <c r="B100">
        <v>226</v>
      </c>
      <c r="C100">
        <v>0</v>
      </c>
    </row>
    <row r="101" spans="1:3" x14ac:dyDescent="0.35">
      <c r="A101" s="379">
        <v>45823</v>
      </c>
      <c r="B101">
        <v>227</v>
      </c>
      <c r="C101">
        <v>105.89</v>
      </c>
    </row>
    <row r="102" spans="1:3" x14ac:dyDescent="0.35">
      <c r="A102" s="379">
        <v>45823</v>
      </c>
      <c r="B102">
        <v>228</v>
      </c>
      <c r="C102">
        <v>104.95</v>
      </c>
    </row>
    <row r="103" spans="1:3" x14ac:dyDescent="0.35">
      <c r="A103" s="379">
        <v>45823</v>
      </c>
      <c r="B103">
        <v>229</v>
      </c>
      <c r="C103">
        <v>109.61</v>
      </c>
    </row>
    <row r="104" spans="1:3" x14ac:dyDescent="0.35">
      <c r="A104" s="379">
        <v>45823</v>
      </c>
      <c r="B104">
        <v>230</v>
      </c>
      <c r="C104">
        <v>97.52</v>
      </c>
    </row>
    <row r="105" spans="1:3" x14ac:dyDescent="0.35">
      <c r="A105" s="379">
        <v>45823</v>
      </c>
      <c r="B105">
        <v>231</v>
      </c>
      <c r="C105">
        <v>0</v>
      </c>
    </row>
    <row r="106" spans="1:3" x14ac:dyDescent="0.35">
      <c r="A106" s="379">
        <v>45823</v>
      </c>
      <c r="B106">
        <v>232</v>
      </c>
      <c r="C106">
        <v>0</v>
      </c>
    </row>
    <row r="107" spans="1:3" x14ac:dyDescent="0.35">
      <c r="A107" s="379">
        <v>45823</v>
      </c>
      <c r="B107">
        <v>233</v>
      </c>
      <c r="C107">
        <v>0</v>
      </c>
    </row>
    <row r="108" spans="1:3" x14ac:dyDescent="0.35">
      <c r="A108" s="379">
        <v>45823</v>
      </c>
      <c r="B108">
        <v>234</v>
      </c>
      <c r="C108">
        <v>0</v>
      </c>
    </row>
    <row r="109" spans="1:3" x14ac:dyDescent="0.35">
      <c r="A109" s="379">
        <v>45823</v>
      </c>
      <c r="B109">
        <v>235</v>
      </c>
      <c r="C109">
        <v>0</v>
      </c>
    </row>
    <row r="110" spans="1:3" x14ac:dyDescent="0.35">
      <c r="A110" s="379">
        <v>45823</v>
      </c>
      <c r="B110">
        <v>236</v>
      </c>
      <c r="C110">
        <v>0</v>
      </c>
    </row>
    <row r="111" spans="1:3" x14ac:dyDescent="0.35">
      <c r="A111" s="379">
        <v>45823</v>
      </c>
      <c r="B111">
        <v>237</v>
      </c>
      <c r="C111">
        <v>80.91</v>
      </c>
    </row>
    <row r="112" spans="1:3" x14ac:dyDescent="0.35">
      <c r="A112" s="379">
        <v>45823</v>
      </c>
      <c r="B112">
        <v>238</v>
      </c>
      <c r="C112">
        <v>73.400000000000006</v>
      </c>
    </row>
    <row r="113" spans="1:3" x14ac:dyDescent="0.35">
      <c r="A113" s="379">
        <v>45823</v>
      </c>
      <c r="B113">
        <v>239</v>
      </c>
      <c r="C113">
        <v>66.63</v>
      </c>
    </row>
    <row r="114" spans="1:3" x14ac:dyDescent="0.35">
      <c r="A114" s="379">
        <v>45823</v>
      </c>
      <c r="B114">
        <v>240</v>
      </c>
      <c r="C114">
        <v>77.59</v>
      </c>
    </row>
    <row r="115" spans="1:3" x14ac:dyDescent="0.35">
      <c r="A115" s="379">
        <v>45823</v>
      </c>
      <c r="B115">
        <v>241</v>
      </c>
      <c r="C115">
        <v>59.83</v>
      </c>
    </row>
    <row r="116" spans="1:3" x14ac:dyDescent="0.35">
      <c r="A116" s="379">
        <v>45823</v>
      </c>
      <c r="B116">
        <v>242</v>
      </c>
      <c r="C116">
        <v>72.33</v>
      </c>
    </row>
    <row r="117" spans="1:3" x14ac:dyDescent="0.35">
      <c r="A117" s="379">
        <v>45823</v>
      </c>
      <c r="B117">
        <v>243</v>
      </c>
      <c r="C117">
        <v>78.31</v>
      </c>
    </row>
    <row r="118" spans="1:3" x14ac:dyDescent="0.35">
      <c r="A118" s="379">
        <v>45823</v>
      </c>
      <c r="B118">
        <v>244</v>
      </c>
      <c r="C118">
        <v>74.790000000000006</v>
      </c>
    </row>
    <row r="119" spans="1:3" x14ac:dyDescent="0.35">
      <c r="A119" s="379">
        <v>45823</v>
      </c>
      <c r="B119">
        <v>245</v>
      </c>
      <c r="C119">
        <v>58.93</v>
      </c>
    </row>
    <row r="120" spans="1:3" x14ac:dyDescent="0.35">
      <c r="A120" s="379">
        <v>45823</v>
      </c>
      <c r="B120">
        <v>246</v>
      </c>
      <c r="C120">
        <v>82.19</v>
      </c>
    </row>
    <row r="121" spans="1:3" x14ac:dyDescent="0.35">
      <c r="A121" s="379">
        <v>45823</v>
      </c>
      <c r="B121">
        <v>247</v>
      </c>
      <c r="C121">
        <v>71.27</v>
      </c>
    </row>
    <row r="122" spans="1:3" x14ac:dyDescent="0.35">
      <c r="A122" s="379">
        <v>45823</v>
      </c>
      <c r="B122">
        <v>248</v>
      </c>
      <c r="C122">
        <v>55.8</v>
      </c>
    </row>
    <row r="123" spans="1:3" x14ac:dyDescent="0.35">
      <c r="A123" s="379">
        <v>45823</v>
      </c>
      <c r="B123">
        <v>249</v>
      </c>
      <c r="C123">
        <v>99</v>
      </c>
    </row>
    <row r="124" spans="1:3" x14ac:dyDescent="0.35">
      <c r="A124" s="379">
        <v>45823</v>
      </c>
      <c r="B124">
        <v>250</v>
      </c>
      <c r="C124">
        <v>98</v>
      </c>
    </row>
    <row r="125" spans="1:3" x14ac:dyDescent="0.35">
      <c r="A125" s="379">
        <v>45823</v>
      </c>
      <c r="B125">
        <v>251</v>
      </c>
      <c r="C125">
        <v>98.8</v>
      </c>
    </row>
    <row r="126" spans="1:3" x14ac:dyDescent="0.35">
      <c r="A126" s="379">
        <v>45823</v>
      </c>
      <c r="B126">
        <v>252</v>
      </c>
      <c r="C126">
        <v>98.7</v>
      </c>
    </row>
    <row r="127" spans="1:3" x14ac:dyDescent="0.35">
      <c r="A127" s="379">
        <v>45823</v>
      </c>
      <c r="B127">
        <v>253</v>
      </c>
      <c r="C127">
        <v>97.5</v>
      </c>
    </row>
    <row r="128" spans="1:3" x14ac:dyDescent="0.35">
      <c r="A128" s="379">
        <v>45823</v>
      </c>
      <c r="B128">
        <v>254</v>
      </c>
      <c r="C128">
        <v>97.8</v>
      </c>
    </row>
    <row r="129" spans="1:3" x14ac:dyDescent="0.35">
      <c r="A129" s="379">
        <v>45823</v>
      </c>
      <c r="B129">
        <v>255</v>
      </c>
      <c r="C129">
        <v>100</v>
      </c>
    </row>
    <row r="130" spans="1:3" x14ac:dyDescent="0.35">
      <c r="A130" s="379">
        <v>45823</v>
      </c>
      <c r="B130">
        <v>256</v>
      </c>
      <c r="C130">
        <v>100</v>
      </c>
    </row>
    <row r="131" spans="1:3" x14ac:dyDescent="0.35">
      <c r="A131" s="379">
        <v>45823</v>
      </c>
      <c r="B131">
        <v>257</v>
      </c>
      <c r="C131">
        <v>96.6</v>
      </c>
    </row>
    <row r="132" spans="1:3" x14ac:dyDescent="0.35">
      <c r="A132" s="379">
        <v>45823</v>
      </c>
      <c r="B132">
        <v>258</v>
      </c>
      <c r="C132">
        <v>97.4</v>
      </c>
    </row>
    <row r="133" spans="1:3" x14ac:dyDescent="0.35">
      <c r="A133" s="379">
        <v>45823</v>
      </c>
      <c r="B133">
        <v>259</v>
      </c>
      <c r="C133">
        <v>96</v>
      </c>
    </row>
    <row r="134" spans="1:3" x14ac:dyDescent="0.35">
      <c r="A134" s="379">
        <v>45823</v>
      </c>
      <c r="B134">
        <v>260</v>
      </c>
      <c r="C134">
        <v>94.7</v>
      </c>
    </row>
    <row r="135" spans="1:3" x14ac:dyDescent="0.35">
      <c r="A135" s="379">
        <v>45823</v>
      </c>
      <c r="B135">
        <v>261</v>
      </c>
      <c r="C135">
        <v>88</v>
      </c>
    </row>
    <row r="136" spans="1:3" x14ac:dyDescent="0.35">
      <c r="A136" s="379">
        <v>45823</v>
      </c>
      <c r="B136">
        <v>601</v>
      </c>
      <c r="C136">
        <v>41345.19</v>
      </c>
    </row>
    <row r="137" spans="1:3" x14ac:dyDescent="0.35">
      <c r="A137" s="379">
        <v>45823</v>
      </c>
      <c r="B137">
        <v>602</v>
      </c>
      <c r="C137">
        <v>48598.15</v>
      </c>
    </row>
    <row r="138" spans="1:3" x14ac:dyDescent="0.35">
      <c r="A138" s="379">
        <v>45823</v>
      </c>
      <c r="B138">
        <v>603</v>
      </c>
      <c r="C138">
        <v>39520.79</v>
      </c>
    </row>
    <row r="139" spans="1:3" x14ac:dyDescent="0.35">
      <c r="A139" s="379">
        <v>45823</v>
      </c>
      <c r="B139">
        <v>604</v>
      </c>
      <c r="C139">
        <v>44062.21</v>
      </c>
    </row>
    <row r="140" spans="1:3" x14ac:dyDescent="0.35">
      <c r="A140" s="379">
        <v>45823</v>
      </c>
      <c r="B140">
        <v>605</v>
      </c>
      <c r="C140">
        <v>36080.07</v>
      </c>
    </row>
    <row r="141" spans="1:3" x14ac:dyDescent="0.35">
      <c r="A141" s="379">
        <v>45823</v>
      </c>
      <c r="B141">
        <v>606</v>
      </c>
      <c r="C141">
        <v>44834.48</v>
      </c>
    </row>
    <row r="142" spans="1:3" x14ac:dyDescent="0.35">
      <c r="A142" s="379">
        <v>45823</v>
      </c>
      <c r="B142">
        <v>607</v>
      </c>
      <c r="C142">
        <v>33367</v>
      </c>
    </row>
    <row r="143" spans="1:3" x14ac:dyDescent="0.35">
      <c r="A143" s="379">
        <v>45823</v>
      </c>
      <c r="B143">
        <v>608</v>
      </c>
      <c r="C143">
        <v>46986.65</v>
      </c>
    </row>
    <row r="144" spans="1:3" x14ac:dyDescent="0.35">
      <c r="A144" s="379">
        <v>45823</v>
      </c>
      <c r="B144">
        <v>609</v>
      </c>
      <c r="C144">
        <v>31427.02</v>
      </c>
    </row>
    <row r="145" spans="1:3" x14ac:dyDescent="0.35">
      <c r="A145" s="379">
        <v>45823</v>
      </c>
      <c r="B145">
        <v>610</v>
      </c>
      <c r="C145">
        <v>48172.25</v>
      </c>
    </row>
    <row r="146" spans="1:3" x14ac:dyDescent="0.35">
      <c r="A146" s="379">
        <v>45823</v>
      </c>
      <c r="B146">
        <v>611</v>
      </c>
      <c r="C146">
        <v>40598.25</v>
      </c>
    </row>
    <row r="147" spans="1:3" x14ac:dyDescent="0.35">
      <c r="A147" s="379">
        <v>45823</v>
      </c>
      <c r="B147">
        <v>612</v>
      </c>
      <c r="C147">
        <v>33621.910000000003</v>
      </c>
    </row>
    <row r="148" spans="1:3" x14ac:dyDescent="0.35">
      <c r="A148" s="379">
        <v>45823</v>
      </c>
      <c r="B148">
        <v>613</v>
      </c>
      <c r="C148">
        <v>29.5</v>
      </c>
    </row>
    <row r="149" spans="1:3" x14ac:dyDescent="0.35">
      <c r="A149" s="379">
        <v>45823</v>
      </c>
      <c r="B149">
        <v>614</v>
      </c>
      <c r="C149">
        <v>33.22</v>
      </c>
    </row>
    <row r="150" spans="1:3" x14ac:dyDescent="0.35">
      <c r="A150" s="379">
        <v>45823</v>
      </c>
      <c r="B150">
        <v>615</v>
      </c>
      <c r="C150">
        <v>28.95</v>
      </c>
    </row>
    <row r="151" spans="1:3" x14ac:dyDescent="0.35">
      <c r="A151" s="379">
        <v>45823</v>
      </c>
      <c r="B151">
        <v>616</v>
      </c>
      <c r="C151">
        <v>30.32</v>
      </c>
    </row>
    <row r="152" spans="1:3" x14ac:dyDescent="0.35">
      <c r="A152" s="379">
        <v>45823</v>
      </c>
      <c r="B152">
        <v>617</v>
      </c>
      <c r="C152">
        <v>30.84</v>
      </c>
    </row>
    <row r="153" spans="1:3" x14ac:dyDescent="0.35">
      <c r="A153" s="379">
        <v>45823</v>
      </c>
      <c r="B153">
        <v>618</v>
      </c>
      <c r="C153">
        <v>30.75</v>
      </c>
    </row>
    <row r="154" spans="1:3" x14ac:dyDescent="0.35">
      <c r="A154" s="379">
        <v>45823</v>
      </c>
      <c r="B154">
        <v>619</v>
      </c>
      <c r="C154">
        <v>24.91</v>
      </c>
    </row>
    <row r="155" spans="1:3" x14ac:dyDescent="0.35">
      <c r="A155" s="379">
        <v>45823</v>
      </c>
      <c r="B155">
        <v>620</v>
      </c>
      <c r="C155">
        <v>31.65</v>
      </c>
    </row>
    <row r="156" spans="1:3" x14ac:dyDescent="0.35">
      <c r="A156" s="379">
        <v>45823</v>
      </c>
      <c r="B156">
        <v>621</v>
      </c>
      <c r="C156">
        <v>27.3</v>
      </c>
    </row>
    <row r="157" spans="1:3" x14ac:dyDescent="0.35">
      <c r="A157" s="379">
        <v>45823</v>
      </c>
      <c r="B157">
        <v>622</v>
      </c>
      <c r="C157">
        <v>34.92</v>
      </c>
    </row>
    <row r="158" spans="1:3" x14ac:dyDescent="0.35">
      <c r="A158" s="379">
        <v>45823</v>
      </c>
      <c r="B158">
        <v>623</v>
      </c>
      <c r="C158">
        <v>29.98</v>
      </c>
    </row>
    <row r="159" spans="1:3" x14ac:dyDescent="0.35">
      <c r="A159" s="379">
        <v>45823</v>
      </c>
      <c r="B159">
        <v>624</v>
      </c>
      <c r="C159">
        <v>29.33</v>
      </c>
    </row>
    <row r="160" spans="1:3" x14ac:dyDescent="0.35">
      <c r="A160" s="379">
        <v>45823</v>
      </c>
      <c r="B160">
        <v>637</v>
      </c>
      <c r="C160">
        <v>76.84</v>
      </c>
    </row>
    <row r="161" spans="1:3" x14ac:dyDescent="0.35">
      <c r="A161" s="379">
        <v>45823</v>
      </c>
      <c r="B161">
        <v>638</v>
      </c>
      <c r="C161">
        <v>80.19</v>
      </c>
    </row>
    <row r="162" spans="1:3" x14ac:dyDescent="0.35">
      <c r="A162" s="379">
        <v>45823</v>
      </c>
      <c r="B162">
        <v>639</v>
      </c>
      <c r="C162">
        <v>74.84</v>
      </c>
    </row>
    <row r="163" spans="1:3" x14ac:dyDescent="0.35">
      <c r="A163" s="379">
        <v>45823</v>
      </c>
      <c r="B163">
        <v>640</v>
      </c>
      <c r="C163">
        <v>79.67</v>
      </c>
    </row>
    <row r="164" spans="1:3" x14ac:dyDescent="0.35">
      <c r="A164" s="379">
        <v>45823</v>
      </c>
      <c r="B164">
        <v>641</v>
      </c>
      <c r="C164">
        <v>64.14</v>
      </c>
    </row>
    <row r="165" spans="1:3" x14ac:dyDescent="0.35">
      <c r="A165" s="379">
        <v>45823</v>
      </c>
      <c r="B165">
        <v>642</v>
      </c>
      <c r="C165">
        <v>79.95</v>
      </c>
    </row>
    <row r="166" spans="1:3" x14ac:dyDescent="0.35">
      <c r="A166" s="379">
        <v>45823</v>
      </c>
      <c r="B166">
        <v>643</v>
      </c>
      <c r="C166">
        <v>73.430000000000007</v>
      </c>
    </row>
    <row r="167" spans="1:3" x14ac:dyDescent="0.35">
      <c r="A167" s="379">
        <v>45823</v>
      </c>
      <c r="B167">
        <v>644</v>
      </c>
      <c r="C167">
        <v>81.39</v>
      </c>
    </row>
    <row r="168" spans="1:3" x14ac:dyDescent="0.35">
      <c r="A168" s="379">
        <v>45823</v>
      </c>
      <c r="B168">
        <v>645</v>
      </c>
      <c r="C168">
        <v>63.12</v>
      </c>
    </row>
    <row r="169" spans="1:3" x14ac:dyDescent="0.35">
      <c r="A169" s="379">
        <v>45823</v>
      </c>
      <c r="B169">
        <v>646</v>
      </c>
      <c r="C169">
        <v>75.64</v>
      </c>
    </row>
    <row r="170" spans="1:3" x14ac:dyDescent="0.35">
      <c r="A170" s="379">
        <v>45823</v>
      </c>
      <c r="B170">
        <v>647</v>
      </c>
      <c r="C170">
        <v>74.25</v>
      </c>
    </row>
    <row r="171" spans="1:3" x14ac:dyDescent="0.35">
      <c r="A171" s="379">
        <v>45823</v>
      </c>
      <c r="B171">
        <v>648</v>
      </c>
      <c r="C171">
        <v>62.84</v>
      </c>
    </row>
    <row r="172" spans="1:3" x14ac:dyDescent="0.35">
      <c r="A172" s="379">
        <v>45823</v>
      </c>
      <c r="B172">
        <v>649</v>
      </c>
      <c r="C172">
        <v>98.9</v>
      </c>
    </row>
    <row r="173" spans="1:3" x14ac:dyDescent="0.35">
      <c r="A173" s="379">
        <v>45823</v>
      </c>
      <c r="B173">
        <v>650</v>
      </c>
      <c r="C173">
        <v>98.5</v>
      </c>
    </row>
    <row r="174" spans="1:3" x14ac:dyDescent="0.35">
      <c r="A174" s="379">
        <v>45823</v>
      </c>
      <c r="B174">
        <v>651</v>
      </c>
      <c r="C174">
        <v>98.9</v>
      </c>
    </row>
    <row r="175" spans="1:3" x14ac:dyDescent="0.35">
      <c r="A175" s="379">
        <v>45823</v>
      </c>
      <c r="B175">
        <v>652</v>
      </c>
      <c r="C175">
        <v>98.7</v>
      </c>
    </row>
    <row r="176" spans="1:3" x14ac:dyDescent="0.35">
      <c r="A176" s="379">
        <v>45823</v>
      </c>
      <c r="B176">
        <v>653</v>
      </c>
      <c r="C176">
        <v>97.7</v>
      </c>
    </row>
    <row r="177" spans="1:3" x14ac:dyDescent="0.35">
      <c r="A177" s="379">
        <v>45823</v>
      </c>
      <c r="B177">
        <v>654</v>
      </c>
      <c r="C177">
        <v>98</v>
      </c>
    </row>
    <row r="178" spans="1:3" x14ac:dyDescent="0.35">
      <c r="A178" s="379">
        <v>45823</v>
      </c>
      <c r="B178">
        <v>655</v>
      </c>
      <c r="C178">
        <v>100</v>
      </c>
    </row>
    <row r="179" spans="1:3" x14ac:dyDescent="0.35">
      <c r="A179" s="379">
        <v>45823</v>
      </c>
      <c r="B179">
        <v>656</v>
      </c>
      <c r="C179">
        <v>100</v>
      </c>
    </row>
    <row r="180" spans="1:3" x14ac:dyDescent="0.35">
      <c r="A180" s="379">
        <v>45823</v>
      </c>
      <c r="B180">
        <v>657</v>
      </c>
      <c r="C180">
        <v>97</v>
      </c>
    </row>
    <row r="181" spans="1:3" x14ac:dyDescent="0.35">
      <c r="A181" s="379">
        <v>45823</v>
      </c>
      <c r="B181">
        <v>658</v>
      </c>
      <c r="C181">
        <v>97.5</v>
      </c>
    </row>
    <row r="182" spans="1:3" x14ac:dyDescent="0.35">
      <c r="A182" s="379">
        <v>45823</v>
      </c>
      <c r="B182">
        <v>659</v>
      </c>
      <c r="C182">
        <v>96.2</v>
      </c>
    </row>
    <row r="183" spans="1:3" x14ac:dyDescent="0.35">
      <c r="A183" s="379">
        <v>45823</v>
      </c>
      <c r="B183">
        <v>660</v>
      </c>
      <c r="C183">
        <v>94.9</v>
      </c>
    </row>
    <row r="184" spans="1:3" x14ac:dyDescent="0.35">
      <c r="A184" s="379">
        <v>45823</v>
      </c>
      <c r="B184">
        <v>661</v>
      </c>
      <c r="C184">
        <v>88.77</v>
      </c>
    </row>
    <row r="185" spans="1:3" x14ac:dyDescent="0.35">
      <c r="A185" s="379">
        <v>45823</v>
      </c>
      <c r="B185">
        <v>701</v>
      </c>
      <c r="C185">
        <v>76</v>
      </c>
    </row>
    <row r="186" spans="1:3" x14ac:dyDescent="0.35">
      <c r="A186" s="379">
        <v>45823</v>
      </c>
      <c r="B186">
        <v>702</v>
      </c>
      <c r="C186">
        <v>32</v>
      </c>
    </row>
    <row r="187" spans="1:3" x14ac:dyDescent="0.35">
      <c r="A187" s="379">
        <v>45823</v>
      </c>
      <c r="B187">
        <v>703</v>
      </c>
      <c r="C187">
        <v>69</v>
      </c>
    </row>
    <row r="188" spans="1:3" x14ac:dyDescent="0.35">
      <c r="A188" s="379">
        <v>45823</v>
      </c>
      <c r="B188">
        <v>704</v>
      </c>
      <c r="C188">
        <v>123</v>
      </c>
    </row>
    <row r="189" spans="1:3" x14ac:dyDescent="0.35">
      <c r="A189" s="379">
        <v>45823</v>
      </c>
      <c r="B189">
        <v>705</v>
      </c>
      <c r="C189">
        <v>307</v>
      </c>
    </row>
    <row r="190" spans="1:3" x14ac:dyDescent="0.35">
      <c r="A190" s="379">
        <v>45823</v>
      </c>
      <c r="B190">
        <v>706</v>
      </c>
      <c r="C190">
        <v>22</v>
      </c>
    </row>
    <row r="191" spans="1:3" x14ac:dyDescent="0.35">
      <c r="A191" s="379">
        <v>45823</v>
      </c>
      <c r="B191">
        <v>707</v>
      </c>
      <c r="C191">
        <v>47</v>
      </c>
    </row>
    <row r="192" spans="1:3" x14ac:dyDescent="0.35">
      <c r="A192" s="379">
        <v>45823</v>
      </c>
      <c r="B192">
        <v>709</v>
      </c>
      <c r="C192">
        <v>999.95</v>
      </c>
    </row>
    <row r="193" spans="1:3" x14ac:dyDescent="0.35">
      <c r="A193" s="379">
        <v>45823</v>
      </c>
      <c r="B193">
        <v>710</v>
      </c>
      <c r="C193">
        <v>515.98</v>
      </c>
    </row>
    <row r="194" spans="1:3" x14ac:dyDescent="0.35">
      <c r="A194" s="379">
        <v>45823</v>
      </c>
      <c r="B194">
        <v>711</v>
      </c>
      <c r="C194">
        <v>1089.8699999999999</v>
      </c>
    </row>
    <row r="195" spans="1:3" x14ac:dyDescent="0.35">
      <c r="A195" s="379">
        <v>45823</v>
      </c>
      <c r="B195">
        <v>712</v>
      </c>
      <c r="C195">
        <v>1958.675</v>
      </c>
    </row>
    <row r="196" spans="1:3" x14ac:dyDescent="0.35">
      <c r="A196" s="379">
        <v>45823</v>
      </c>
      <c r="B196">
        <v>713</v>
      </c>
      <c r="C196">
        <v>4590.2700000000004</v>
      </c>
    </row>
    <row r="197" spans="1:3" x14ac:dyDescent="0.35">
      <c r="A197" s="379">
        <v>45823</v>
      </c>
      <c r="B197">
        <v>714</v>
      </c>
      <c r="C197">
        <v>197.21700000000001</v>
      </c>
    </row>
    <row r="198" spans="1:3" x14ac:dyDescent="0.35">
      <c r="A198" s="379">
        <v>45823</v>
      </c>
      <c r="B198">
        <v>715</v>
      </c>
      <c r="C198">
        <v>601.39700000000005</v>
      </c>
    </row>
    <row r="199" spans="1:3" x14ac:dyDescent="0.35">
      <c r="A199" s="379">
        <v>45823</v>
      </c>
      <c r="B199">
        <v>716</v>
      </c>
      <c r="C199">
        <v>116.16</v>
      </c>
    </row>
    <row r="200" spans="1:3" x14ac:dyDescent="0.35">
      <c r="A200" s="379">
        <v>45823</v>
      </c>
      <c r="B200">
        <v>717</v>
      </c>
      <c r="C200">
        <v>9351.9619999999995</v>
      </c>
    </row>
    <row r="201" spans="1:3" x14ac:dyDescent="0.35">
      <c r="A201" s="379">
        <v>45823</v>
      </c>
      <c r="B201">
        <v>718</v>
      </c>
      <c r="C201">
        <v>64.167000000000002</v>
      </c>
    </row>
    <row r="202" spans="1:3" x14ac:dyDescent="0.35">
      <c r="A202" s="379">
        <v>45823</v>
      </c>
      <c r="B202">
        <v>801</v>
      </c>
      <c r="C202">
        <v>5.62</v>
      </c>
    </row>
    <row r="203" spans="1:3" x14ac:dyDescent="0.35">
      <c r="A203" s="379">
        <v>45823</v>
      </c>
      <c r="B203">
        <v>802</v>
      </c>
      <c r="C203">
        <v>0</v>
      </c>
    </row>
    <row r="204" spans="1:3" x14ac:dyDescent="0.35">
      <c r="A204" s="379">
        <v>45823</v>
      </c>
      <c r="B204">
        <v>803</v>
      </c>
      <c r="C204">
        <v>0</v>
      </c>
    </row>
    <row r="205" spans="1:3" x14ac:dyDescent="0.35">
      <c r="A205" s="379">
        <v>45823</v>
      </c>
      <c r="B205">
        <v>804</v>
      </c>
      <c r="C205">
        <v>0</v>
      </c>
    </row>
    <row r="206" spans="1:3" x14ac:dyDescent="0.35">
      <c r="A206" s="379">
        <v>45823</v>
      </c>
      <c r="B206">
        <v>805</v>
      </c>
      <c r="C206">
        <v>0</v>
      </c>
    </row>
    <row r="207" spans="1:3" x14ac:dyDescent="0.35">
      <c r="A207" s="379">
        <v>45823</v>
      </c>
      <c r="B207">
        <v>806</v>
      </c>
      <c r="C207">
        <v>0</v>
      </c>
    </row>
    <row r="208" spans="1:3" x14ac:dyDescent="0.35">
      <c r="A208" s="379">
        <v>45823</v>
      </c>
      <c r="B208">
        <v>811</v>
      </c>
      <c r="C208">
        <v>32.770000000000003</v>
      </c>
    </row>
    <row r="209" spans="1:3" x14ac:dyDescent="0.35">
      <c r="A209" s="379">
        <v>45823</v>
      </c>
      <c r="B209">
        <v>812</v>
      </c>
      <c r="C209">
        <v>0</v>
      </c>
    </row>
    <row r="210" spans="1:3" x14ac:dyDescent="0.35">
      <c r="A210" s="379">
        <v>45823</v>
      </c>
      <c r="B210">
        <v>813</v>
      </c>
      <c r="C210">
        <v>0</v>
      </c>
    </row>
    <row r="211" spans="1:3" x14ac:dyDescent="0.35">
      <c r="A211" s="379">
        <v>45823</v>
      </c>
      <c r="B211">
        <v>814</v>
      </c>
      <c r="C211">
        <v>0</v>
      </c>
    </row>
    <row r="212" spans="1:3" x14ac:dyDescent="0.35">
      <c r="A212" s="379">
        <v>45823</v>
      </c>
      <c r="B212">
        <v>815</v>
      </c>
      <c r="C212">
        <v>13.26</v>
      </c>
    </row>
    <row r="213" spans="1:3" x14ac:dyDescent="0.35">
      <c r="A213" s="379">
        <v>45823</v>
      </c>
      <c r="B213">
        <v>816</v>
      </c>
      <c r="C213">
        <v>0</v>
      </c>
    </row>
    <row r="214" spans="1:3" x14ac:dyDescent="0.35">
      <c r="A214" s="379">
        <v>45823</v>
      </c>
      <c r="B214">
        <v>821</v>
      </c>
      <c r="C214">
        <v>25</v>
      </c>
    </row>
    <row r="215" spans="1:3" x14ac:dyDescent="0.35">
      <c r="A215" s="379">
        <v>45823</v>
      </c>
      <c r="B215">
        <v>822</v>
      </c>
      <c r="C215">
        <v>0</v>
      </c>
    </row>
    <row r="216" spans="1:3" x14ac:dyDescent="0.35">
      <c r="A216" s="379">
        <v>45823</v>
      </c>
      <c r="B216">
        <v>823</v>
      </c>
      <c r="C216">
        <v>0</v>
      </c>
    </row>
    <row r="217" spans="1:3" x14ac:dyDescent="0.35">
      <c r="A217" s="379">
        <v>45823</v>
      </c>
      <c r="B217">
        <v>824</v>
      </c>
      <c r="C217">
        <v>0</v>
      </c>
    </row>
    <row r="218" spans="1:3" x14ac:dyDescent="0.35">
      <c r="A218" s="379">
        <v>45823</v>
      </c>
      <c r="B218">
        <v>825</v>
      </c>
      <c r="C218">
        <v>0</v>
      </c>
    </row>
    <row r="219" spans="1:3" x14ac:dyDescent="0.35">
      <c r="A219" s="379">
        <v>45823</v>
      </c>
      <c r="B219">
        <v>826</v>
      </c>
      <c r="C219">
        <v>0</v>
      </c>
    </row>
    <row r="220" spans="1:3" x14ac:dyDescent="0.35">
      <c r="A220" s="379">
        <v>45823</v>
      </c>
      <c r="B220">
        <v>831</v>
      </c>
      <c r="C220">
        <v>268.51</v>
      </c>
    </row>
    <row r="221" spans="1:3" x14ac:dyDescent="0.35">
      <c r="A221" s="379">
        <v>45823</v>
      </c>
      <c r="B221">
        <v>832</v>
      </c>
      <c r="C221">
        <v>0</v>
      </c>
    </row>
    <row r="222" spans="1:3" x14ac:dyDescent="0.35">
      <c r="A222" s="379">
        <v>45823</v>
      </c>
      <c r="B222">
        <v>833</v>
      </c>
      <c r="C222">
        <v>750.47</v>
      </c>
    </row>
    <row r="223" spans="1:3" x14ac:dyDescent="0.35">
      <c r="A223" s="379">
        <v>45823</v>
      </c>
      <c r="B223">
        <v>834</v>
      </c>
      <c r="C223">
        <v>0</v>
      </c>
    </row>
    <row r="224" spans="1:3" x14ac:dyDescent="0.35">
      <c r="A224" s="379">
        <v>45823</v>
      </c>
      <c r="B224">
        <v>835</v>
      </c>
      <c r="C224">
        <v>948.26</v>
      </c>
    </row>
    <row r="225" spans="1:3" x14ac:dyDescent="0.35">
      <c r="A225" s="379">
        <v>45823</v>
      </c>
      <c r="B225">
        <v>836</v>
      </c>
      <c r="C225">
        <v>0</v>
      </c>
    </row>
    <row r="226" spans="1:3" x14ac:dyDescent="0.35">
      <c r="A226" s="379">
        <v>45823</v>
      </c>
      <c r="B226">
        <v>841</v>
      </c>
      <c r="C226">
        <v>150.66999999999999</v>
      </c>
    </row>
    <row r="227" spans="1:3" x14ac:dyDescent="0.35">
      <c r="A227" s="379">
        <v>45823</v>
      </c>
      <c r="B227">
        <v>842</v>
      </c>
      <c r="C227">
        <v>0</v>
      </c>
    </row>
    <row r="228" spans="1:3" x14ac:dyDescent="0.35">
      <c r="A228" s="379">
        <v>45823</v>
      </c>
      <c r="B228">
        <v>843</v>
      </c>
      <c r="C228">
        <v>147.52000000000001</v>
      </c>
    </row>
    <row r="229" spans="1:3" x14ac:dyDescent="0.35">
      <c r="A229" s="379">
        <v>45823</v>
      </c>
      <c r="B229">
        <v>844</v>
      </c>
      <c r="C229">
        <v>0</v>
      </c>
    </row>
    <row r="230" spans="1:3" x14ac:dyDescent="0.35">
      <c r="A230" s="379">
        <v>45823</v>
      </c>
      <c r="B230">
        <v>845</v>
      </c>
      <c r="C230">
        <v>158.80000000000001</v>
      </c>
    </row>
    <row r="231" spans="1:3" x14ac:dyDescent="0.35">
      <c r="A231" s="379">
        <v>45823</v>
      </c>
      <c r="B231">
        <v>846</v>
      </c>
      <c r="C231">
        <v>0</v>
      </c>
    </row>
    <row r="232" spans="1:3" x14ac:dyDescent="0.35">
      <c r="A232" s="379">
        <v>45823</v>
      </c>
      <c r="B232">
        <v>851</v>
      </c>
      <c r="C232">
        <v>1177</v>
      </c>
    </row>
    <row r="233" spans="1:3" x14ac:dyDescent="0.35">
      <c r="A233" s="379">
        <v>45823</v>
      </c>
      <c r="B233">
        <v>852</v>
      </c>
      <c r="C233">
        <v>0</v>
      </c>
    </row>
    <row r="234" spans="1:3" x14ac:dyDescent="0.35">
      <c r="A234" s="379">
        <v>45823</v>
      </c>
      <c r="B234">
        <v>853</v>
      </c>
      <c r="C234">
        <v>1327</v>
      </c>
    </row>
    <row r="235" spans="1:3" x14ac:dyDescent="0.35">
      <c r="A235" s="379">
        <v>45823</v>
      </c>
      <c r="B235">
        <v>854</v>
      </c>
      <c r="C235">
        <v>0</v>
      </c>
    </row>
    <row r="236" spans="1:3" x14ac:dyDescent="0.35">
      <c r="A236" s="379">
        <v>45823</v>
      </c>
      <c r="B236">
        <v>855</v>
      </c>
      <c r="C236">
        <v>2943</v>
      </c>
    </row>
    <row r="237" spans="1:3" x14ac:dyDescent="0.35">
      <c r="A237" s="379">
        <v>45823</v>
      </c>
      <c r="B237">
        <v>856</v>
      </c>
      <c r="C237">
        <v>0</v>
      </c>
    </row>
    <row r="238" spans="1:3" x14ac:dyDescent="0.35">
      <c r="A238" s="379">
        <v>45823</v>
      </c>
      <c r="B238">
        <v>861</v>
      </c>
      <c r="C238">
        <v>1982.98</v>
      </c>
    </row>
    <row r="239" spans="1:3" x14ac:dyDescent="0.35">
      <c r="A239" s="379">
        <v>45823</v>
      </c>
      <c r="B239">
        <v>862</v>
      </c>
      <c r="C239">
        <v>115.09</v>
      </c>
    </row>
    <row r="240" spans="1:3" x14ac:dyDescent="0.35">
      <c r="A240" s="379">
        <v>45823</v>
      </c>
      <c r="B240">
        <v>863</v>
      </c>
      <c r="C240">
        <v>2174.17</v>
      </c>
    </row>
    <row r="241" spans="1:3" x14ac:dyDescent="0.35">
      <c r="A241" s="379">
        <v>45823</v>
      </c>
      <c r="B241">
        <v>864</v>
      </c>
      <c r="C241">
        <v>0</v>
      </c>
    </row>
    <row r="242" spans="1:3" x14ac:dyDescent="0.35">
      <c r="A242" s="379">
        <v>45823</v>
      </c>
      <c r="B242">
        <v>865</v>
      </c>
      <c r="C242">
        <v>4646.07</v>
      </c>
    </row>
    <row r="243" spans="1:3" x14ac:dyDescent="0.35">
      <c r="A243" s="379">
        <v>45823</v>
      </c>
      <c r="B243">
        <v>866</v>
      </c>
      <c r="C243">
        <v>113.18</v>
      </c>
    </row>
    <row r="244" spans="1:3" x14ac:dyDescent="0.35">
      <c r="A244" s="379">
        <v>45823</v>
      </c>
      <c r="B244">
        <v>871</v>
      </c>
      <c r="C244">
        <v>1377.78</v>
      </c>
    </row>
    <row r="245" spans="1:3" x14ac:dyDescent="0.35">
      <c r="A245" s="379">
        <v>45823</v>
      </c>
      <c r="B245">
        <v>872</v>
      </c>
      <c r="C245">
        <v>101.93</v>
      </c>
    </row>
    <row r="246" spans="1:3" x14ac:dyDescent="0.35">
      <c r="A246" s="379">
        <v>45823</v>
      </c>
      <c r="B246">
        <v>873</v>
      </c>
      <c r="C246">
        <v>351.76</v>
      </c>
    </row>
    <row r="247" spans="1:3" x14ac:dyDescent="0.35">
      <c r="A247" s="379">
        <v>45823</v>
      </c>
      <c r="B247">
        <v>874</v>
      </c>
      <c r="C247">
        <v>0</v>
      </c>
    </row>
    <row r="248" spans="1:3" x14ac:dyDescent="0.35">
      <c r="A248" s="379">
        <v>45823</v>
      </c>
      <c r="B248">
        <v>875</v>
      </c>
      <c r="C248">
        <v>938.21</v>
      </c>
    </row>
    <row r="249" spans="1:3" x14ac:dyDescent="0.35">
      <c r="A249" s="379">
        <v>45823</v>
      </c>
      <c r="B249">
        <v>876</v>
      </c>
      <c r="C249">
        <v>21.75</v>
      </c>
    </row>
    <row r="250" spans="1:3" x14ac:dyDescent="0.35">
      <c r="A250" s="379">
        <v>45823</v>
      </c>
      <c r="B250">
        <v>881</v>
      </c>
      <c r="C250">
        <v>10653</v>
      </c>
    </row>
    <row r="251" spans="1:3" x14ac:dyDescent="0.35">
      <c r="A251" s="379">
        <v>45823</v>
      </c>
      <c r="B251">
        <v>882</v>
      </c>
      <c r="C251">
        <v>958</v>
      </c>
    </row>
    <row r="252" spans="1:3" x14ac:dyDescent="0.35">
      <c r="A252" s="379">
        <v>45823</v>
      </c>
      <c r="B252">
        <v>883</v>
      </c>
      <c r="C252">
        <v>3023</v>
      </c>
    </row>
    <row r="253" spans="1:3" x14ac:dyDescent="0.35">
      <c r="A253" s="379">
        <v>45823</v>
      </c>
      <c r="B253">
        <v>884</v>
      </c>
      <c r="C253">
        <v>0</v>
      </c>
    </row>
    <row r="254" spans="1:3" x14ac:dyDescent="0.35">
      <c r="A254" s="379">
        <v>45823</v>
      </c>
      <c r="B254">
        <v>885</v>
      </c>
      <c r="C254">
        <v>12282</v>
      </c>
    </row>
    <row r="255" spans="1:3" x14ac:dyDescent="0.35">
      <c r="A255" s="379">
        <v>45823</v>
      </c>
      <c r="B255">
        <v>886</v>
      </c>
      <c r="C255">
        <v>344</v>
      </c>
    </row>
    <row r="256" spans="1:3" x14ac:dyDescent="0.35">
      <c r="A256" s="6">
        <v>45823.296481481484</v>
      </c>
      <c r="B256">
        <v>301</v>
      </c>
      <c r="C256">
        <v>221.71</v>
      </c>
    </row>
    <row r="257" spans="1:3" x14ac:dyDescent="0.35">
      <c r="A257" s="6">
        <v>45823.296481481484</v>
      </c>
      <c r="B257">
        <v>305</v>
      </c>
      <c r="C257">
        <v>211.84</v>
      </c>
    </row>
    <row r="258" spans="1:3" x14ac:dyDescent="0.35">
      <c r="A258" s="6">
        <v>45823.296481481484</v>
      </c>
      <c r="B258">
        <v>309</v>
      </c>
      <c r="C258">
        <v>197.06</v>
      </c>
    </row>
    <row r="259" spans="1:3" x14ac:dyDescent="0.35">
      <c r="A259" s="6">
        <v>45823.296481481484</v>
      </c>
      <c r="B259">
        <v>401</v>
      </c>
      <c r="C259">
        <v>4554.1499999999996</v>
      </c>
    </row>
    <row r="260" spans="1:3" x14ac:dyDescent="0.35">
      <c r="A260" s="6">
        <v>45823.296481481484</v>
      </c>
      <c r="B260">
        <v>405</v>
      </c>
      <c r="C260">
        <v>4382.45</v>
      </c>
    </row>
    <row r="261" spans="1:3" x14ac:dyDescent="0.35">
      <c r="A261" s="6">
        <v>45823.296481481484</v>
      </c>
      <c r="B261">
        <v>409</v>
      </c>
      <c r="C261">
        <v>4127.42</v>
      </c>
    </row>
    <row r="262" spans="1:3" x14ac:dyDescent="0.35">
      <c r="A262" s="6">
        <v>45823.296481481484</v>
      </c>
      <c r="B262">
        <v>501</v>
      </c>
      <c r="C262">
        <v>22543.55</v>
      </c>
    </row>
    <row r="263" spans="1:3" x14ac:dyDescent="0.35">
      <c r="A263" s="6">
        <v>45823.296481481484</v>
      </c>
      <c r="B263">
        <v>505</v>
      </c>
      <c r="C263">
        <v>22148.799999999999</v>
      </c>
    </row>
    <row r="264" spans="1:3" x14ac:dyDescent="0.35">
      <c r="A264" s="6">
        <v>45823.296481481484</v>
      </c>
      <c r="B264">
        <v>509</v>
      </c>
      <c r="C264">
        <v>21068.19</v>
      </c>
    </row>
    <row r="265" spans="1:3" x14ac:dyDescent="0.35">
      <c r="A265" s="6">
        <v>45823.296863425923</v>
      </c>
      <c r="B265">
        <v>319</v>
      </c>
      <c r="C265">
        <v>92.11</v>
      </c>
    </row>
    <row r="266" spans="1:3" x14ac:dyDescent="0.35">
      <c r="A266" s="6">
        <v>45823.296863425923</v>
      </c>
      <c r="B266">
        <v>325</v>
      </c>
      <c r="C266">
        <v>93.02</v>
      </c>
    </row>
    <row r="267" spans="1:3" x14ac:dyDescent="0.35">
      <c r="A267" s="6">
        <v>45823.296863425923</v>
      </c>
      <c r="B267">
        <v>419</v>
      </c>
      <c r="C267">
        <v>93.7</v>
      </c>
    </row>
    <row r="268" spans="1:3" x14ac:dyDescent="0.35">
      <c r="A268" s="6">
        <v>45823.296863425923</v>
      </c>
      <c r="B268">
        <v>425</v>
      </c>
      <c r="C268">
        <v>94.18</v>
      </c>
    </row>
    <row r="269" spans="1:3" x14ac:dyDescent="0.35">
      <c r="A269" s="6">
        <v>45823.297268518516</v>
      </c>
      <c r="B269">
        <v>302</v>
      </c>
      <c r="C269">
        <v>558.75</v>
      </c>
    </row>
    <row r="270" spans="1:3" x14ac:dyDescent="0.35">
      <c r="A270" s="6">
        <v>45823.297268518516</v>
      </c>
      <c r="B270">
        <v>306</v>
      </c>
      <c r="C270">
        <v>13.95</v>
      </c>
    </row>
    <row r="271" spans="1:3" x14ac:dyDescent="0.35">
      <c r="A271" s="6">
        <v>45823.297268518516</v>
      </c>
      <c r="B271">
        <v>310</v>
      </c>
      <c r="C271">
        <v>13.95</v>
      </c>
    </row>
    <row r="272" spans="1:3" x14ac:dyDescent="0.35">
      <c r="A272" s="6">
        <v>45823.297268518516</v>
      </c>
      <c r="B272">
        <v>402</v>
      </c>
      <c r="C272">
        <v>7357.1</v>
      </c>
    </row>
    <row r="273" spans="1:3" x14ac:dyDescent="0.35">
      <c r="A273" s="6">
        <v>45823.297268518516</v>
      </c>
      <c r="B273">
        <v>406</v>
      </c>
      <c r="C273">
        <v>490.65</v>
      </c>
    </row>
    <row r="274" spans="1:3" x14ac:dyDescent="0.35">
      <c r="A274" s="6">
        <v>45823.297268518516</v>
      </c>
      <c r="B274">
        <v>410</v>
      </c>
      <c r="C274">
        <v>473.32</v>
      </c>
    </row>
    <row r="275" spans="1:3" x14ac:dyDescent="0.35">
      <c r="A275" s="6">
        <v>45823.297268518516</v>
      </c>
      <c r="B275">
        <v>502</v>
      </c>
      <c r="C275">
        <v>47697.06</v>
      </c>
    </row>
    <row r="276" spans="1:3" x14ac:dyDescent="0.35">
      <c r="A276" s="6">
        <v>45823.297268518516</v>
      </c>
      <c r="B276">
        <v>506</v>
      </c>
      <c r="C276">
        <v>2689.66</v>
      </c>
    </row>
    <row r="277" spans="1:3" x14ac:dyDescent="0.35">
      <c r="A277" s="6">
        <v>45823.297268518516</v>
      </c>
      <c r="B277">
        <v>510</v>
      </c>
      <c r="C277">
        <v>2659.68</v>
      </c>
    </row>
    <row r="278" spans="1:3" x14ac:dyDescent="0.35">
      <c r="A278" s="6">
        <v>45823.298171296294</v>
      </c>
      <c r="B278">
        <v>320</v>
      </c>
      <c r="C278">
        <v>100</v>
      </c>
    </row>
    <row r="279" spans="1:3" x14ac:dyDescent="0.35">
      <c r="A279" s="6">
        <v>45823.298171296294</v>
      </c>
      <c r="B279">
        <v>326</v>
      </c>
      <c r="C279">
        <v>100</v>
      </c>
    </row>
    <row r="280" spans="1:3" x14ac:dyDescent="0.35">
      <c r="A280" s="6">
        <v>45823.298171296294</v>
      </c>
      <c r="B280">
        <v>420</v>
      </c>
      <c r="C280">
        <v>93.53</v>
      </c>
    </row>
    <row r="281" spans="1:3" x14ac:dyDescent="0.35">
      <c r="A281" s="6">
        <v>45823.298171296294</v>
      </c>
      <c r="B281">
        <v>426</v>
      </c>
      <c r="C281">
        <v>96.47</v>
      </c>
    </row>
    <row r="282" spans="1:3" x14ac:dyDescent="0.35">
      <c r="A282" s="6">
        <v>45823.298437500001</v>
      </c>
      <c r="B282">
        <v>303</v>
      </c>
      <c r="C282">
        <v>290.68</v>
      </c>
    </row>
    <row r="283" spans="1:3" x14ac:dyDescent="0.35">
      <c r="A283" s="6">
        <v>45823.298437500001</v>
      </c>
      <c r="B283">
        <v>307</v>
      </c>
      <c r="C283">
        <v>319.51</v>
      </c>
    </row>
    <row r="284" spans="1:3" x14ac:dyDescent="0.35">
      <c r="A284" s="6">
        <v>45823.298437500001</v>
      </c>
      <c r="B284">
        <v>311</v>
      </c>
      <c r="C284">
        <v>286.76</v>
      </c>
    </row>
    <row r="285" spans="1:3" x14ac:dyDescent="0.35">
      <c r="A285" s="6">
        <v>45823.298437500001</v>
      </c>
      <c r="B285">
        <v>403</v>
      </c>
      <c r="C285">
        <v>4705.7299999999996</v>
      </c>
    </row>
    <row r="286" spans="1:3" x14ac:dyDescent="0.35">
      <c r="A286" s="6">
        <v>45823.298437500001</v>
      </c>
      <c r="B286">
        <v>407</v>
      </c>
      <c r="C286">
        <v>4694.3599999999997</v>
      </c>
    </row>
    <row r="287" spans="1:3" x14ac:dyDescent="0.35">
      <c r="A287" s="6">
        <v>45823.298437500001</v>
      </c>
      <c r="B287">
        <v>411</v>
      </c>
      <c r="C287">
        <v>4172.74</v>
      </c>
    </row>
    <row r="288" spans="1:3" x14ac:dyDescent="0.35">
      <c r="A288" s="6">
        <v>45823.298437500001</v>
      </c>
      <c r="B288">
        <v>503</v>
      </c>
      <c r="C288">
        <v>28781.02</v>
      </c>
    </row>
    <row r="289" spans="1:3" x14ac:dyDescent="0.35">
      <c r="A289" s="6">
        <v>45823.298437500001</v>
      </c>
      <c r="B289">
        <v>507</v>
      </c>
      <c r="C289">
        <v>28622.35</v>
      </c>
    </row>
    <row r="290" spans="1:3" x14ac:dyDescent="0.35">
      <c r="A290" s="6">
        <v>45823.298437500001</v>
      </c>
      <c r="B290">
        <v>511</v>
      </c>
      <c r="C290">
        <v>27189.58</v>
      </c>
    </row>
    <row r="291" spans="1:3" x14ac:dyDescent="0.35">
      <c r="A291" s="6">
        <v>45823.298668981479</v>
      </c>
      <c r="B291">
        <v>321</v>
      </c>
      <c r="C291">
        <v>87.45</v>
      </c>
    </row>
    <row r="292" spans="1:3" x14ac:dyDescent="0.35">
      <c r="A292" s="6">
        <v>45823.298668981479</v>
      </c>
      <c r="B292">
        <v>327</v>
      </c>
      <c r="C292">
        <v>89.75</v>
      </c>
    </row>
    <row r="293" spans="1:3" x14ac:dyDescent="0.35">
      <c r="A293" s="6">
        <v>45823.298668981479</v>
      </c>
      <c r="B293">
        <v>421</v>
      </c>
      <c r="C293">
        <v>88.46</v>
      </c>
    </row>
    <row r="294" spans="1:3" x14ac:dyDescent="0.35">
      <c r="A294" s="6">
        <v>45823.298668981479</v>
      </c>
      <c r="B294">
        <v>427</v>
      </c>
      <c r="C294">
        <v>88.89</v>
      </c>
    </row>
    <row r="295" spans="1:3" x14ac:dyDescent="0.35">
      <c r="A295" s="6">
        <v>45823.299837962964</v>
      </c>
      <c r="B295">
        <v>304</v>
      </c>
      <c r="C295">
        <v>113.11</v>
      </c>
    </row>
    <row r="296" spans="1:3" x14ac:dyDescent="0.35">
      <c r="A296" s="6">
        <v>45823.299837962964</v>
      </c>
      <c r="B296">
        <v>308</v>
      </c>
      <c r="C296">
        <v>134.01</v>
      </c>
    </row>
    <row r="297" spans="1:3" x14ac:dyDescent="0.35">
      <c r="A297" s="6">
        <v>45823.299837962964</v>
      </c>
      <c r="B297">
        <v>312</v>
      </c>
      <c r="C297">
        <v>126.22</v>
      </c>
    </row>
    <row r="298" spans="1:3" x14ac:dyDescent="0.35">
      <c r="A298" s="6">
        <v>45823.299837962964</v>
      </c>
      <c r="B298">
        <v>404</v>
      </c>
      <c r="C298">
        <v>2813.24</v>
      </c>
    </row>
    <row r="299" spans="1:3" x14ac:dyDescent="0.35">
      <c r="A299" s="6">
        <v>45823.299837962964</v>
      </c>
      <c r="B299">
        <v>408</v>
      </c>
      <c r="C299">
        <v>2794.1</v>
      </c>
    </row>
    <row r="300" spans="1:3" x14ac:dyDescent="0.35">
      <c r="A300" s="6">
        <v>45823.299837962964</v>
      </c>
      <c r="B300">
        <v>412</v>
      </c>
      <c r="C300">
        <v>2548.12</v>
      </c>
    </row>
    <row r="301" spans="1:3" x14ac:dyDescent="0.35">
      <c r="A301" s="6">
        <v>45823.299837962964</v>
      </c>
      <c r="B301">
        <v>504</v>
      </c>
      <c r="C301">
        <v>16110.8</v>
      </c>
    </row>
    <row r="302" spans="1:3" x14ac:dyDescent="0.35">
      <c r="A302" s="6">
        <v>45823.299837962964</v>
      </c>
      <c r="B302">
        <v>508</v>
      </c>
      <c r="C302">
        <v>16065.31</v>
      </c>
    </row>
    <row r="303" spans="1:3" x14ac:dyDescent="0.35">
      <c r="A303" s="6">
        <v>45823.299837962964</v>
      </c>
      <c r="B303">
        <v>512</v>
      </c>
      <c r="C303">
        <v>15236.71</v>
      </c>
    </row>
    <row r="304" spans="1:3" x14ac:dyDescent="0.35">
      <c r="A304" s="6">
        <v>45823.300891203704</v>
      </c>
      <c r="B304">
        <v>322</v>
      </c>
      <c r="C304">
        <v>94.18</v>
      </c>
    </row>
    <row r="305" spans="1:3" x14ac:dyDescent="0.35">
      <c r="A305" s="6">
        <v>45823.300891203704</v>
      </c>
      <c r="B305">
        <v>323</v>
      </c>
      <c r="C305">
        <v>89.75</v>
      </c>
    </row>
    <row r="306" spans="1:3" x14ac:dyDescent="0.35">
      <c r="A306" s="6">
        <v>45823.300891203704</v>
      </c>
      <c r="B306">
        <v>324</v>
      </c>
      <c r="C306">
        <v>90.49</v>
      </c>
    </row>
    <row r="307" spans="1:3" x14ac:dyDescent="0.35">
      <c r="A307" s="6">
        <v>45823.300891203704</v>
      </c>
      <c r="B307">
        <v>328</v>
      </c>
      <c r="C307">
        <v>94.18</v>
      </c>
    </row>
    <row r="308" spans="1:3" x14ac:dyDescent="0.35">
      <c r="A308" s="6">
        <v>45823.300891203704</v>
      </c>
      <c r="B308">
        <v>329</v>
      </c>
      <c r="C308">
        <v>91.33</v>
      </c>
    </row>
    <row r="309" spans="1:3" x14ac:dyDescent="0.35">
      <c r="A309" s="6">
        <v>45823.300891203704</v>
      </c>
      <c r="B309">
        <v>330</v>
      </c>
      <c r="C309">
        <v>91.85</v>
      </c>
    </row>
    <row r="310" spans="1:3" x14ac:dyDescent="0.35">
      <c r="A310" s="6">
        <v>45823.300891203704</v>
      </c>
      <c r="B310">
        <v>422</v>
      </c>
      <c r="C310">
        <v>90.66</v>
      </c>
    </row>
    <row r="311" spans="1:3" x14ac:dyDescent="0.35">
      <c r="A311" s="6">
        <v>45823.300891203704</v>
      </c>
      <c r="B311">
        <v>423</v>
      </c>
      <c r="C311">
        <v>89.54</v>
      </c>
    </row>
    <row r="312" spans="1:3" x14ac:dyDescent="0.35">
      <c r="A312" s="6">
        <v>45823.300891203704</v>
      </c>
      <c r="B312">
        <v>424</v>
      </c>
      <c r="C312">
        <v>91.02</v>
      </c>
    </row>
    <row r="313" spans="1:3" x14ac:dyDescent="0.35">
      <c r="A313" s="6">
        <v>45823.300891203704</v>
      </c>
      <c r="B313">
        <v>428</v>
      </c>
      <c r="C313">
        <v>91.2</v>
      </c>
    </row>
    <row r="314" spans="1:3" x14ac:dyDescent="0.35">
      <c r="A314" s="6">
        <v>45823.300891203704</v>
      </c>
      <c r="B314">
        <v>429</v>
      </c>
      <c r="C314">
        <v>90.17</v>
      </c>
    </row>
    <row r="315" spans="1:3" x14ac:dyDescent="0.35">
      <c r="A315" s="6">
        <v>45823.300891203704</v>
      </c>
      <c r="B315">
        <v>430</v>
      </c>
      <c r="C315">
        <v>91.59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214B0-7F3D-449C-AC23-3E189EB07643}">
  <dimension ref="A2:AG3"/>
  <sheetViews>
    <sheetView topLeftCell="S1" workbookViewId="0">
      <selection activeCell="S3" sqref="A3:XFD3"/>
    </sheetView>
  </sheetViews>
  <sheetFormatPr defaultRowHeight="14.5" x14ac:dyDescent="0.35"/>
  <cols>
    <col min="1" max="1" width="11.453125" customWidth="1"/>
    <col min="2" max="2" width="19.81640625" bestFit="1" customWidth="1"/>
    <col min="3" max="3" width="21.54296875" bestFit="1" customWidth="1"/>
    <col min="4" max="4" width="21.81640625" bestFit="1" customWidth="1"/>
    <col min="5" max="5" width="21.453125" bestFit="1" customWidth="1"/>
    <col min="6" max="6" width="18.7265625" bestFit="1" customWidth="1"/>
    <col min="7" max="7" width="20.453125" bestFit="1" customWidth="1"/>
    <col min="8" max="8" width="20.54296875" bestFit="1" customWidth="1"/>
    <col min="9" max="9" width="20.26953125" bestFit="1" customWidth="1"/>
    <col min="10" max="10" width="25.81640625" bestFit="1" customWidth="1"/>
    <col min="11" max="11" width="24.7265625" bestFit="1" customWidth="1"/>
    <col min="12" max="12" width="24" bestFit="1" customWidth="1"/>
    <col min="13" max="13" width="22.81640625" bestFit="1" customWidth="1"/>
    <col min="14" max="14" width="23.1796875" bestFit="1" customWidth="1"/>
    <col min="15" max="15" width="22" bestFit="1" customWidth="1"/>
    <col min="16" max="16" width="15.453125" bestFit="1" customWidth="1"/>
    <col min="17" max="17" width="14.453125" bestFit="1" customWidth="1"/>
    <col min="18" max="18" width="20.1796875" bestFit="1" customWidth="1"/>
    <col min="19" max="19" width="19.1796875" bestFit="1" customWidth="1"/>
    <col min="20" max="20" width="12.453125" bestFit="1" customWidth="1"/>
    <col min="21" max="21" width="18.26953125" bestFit="1" customWidth="1"/>
    <col min="22" max="22" width="17" bestFit="1" customWidth="1"/>
    <col min="23" max="23" width="13" bestFit="1" customWidth="1"/>
    <col min="24" max="24" width="12.54296875" bestFit="1" customWidth="1"/>
    <col min="25" max="25" width="13.54296875" bestFit="1" customWidth="1"/>
  </cols>
  <sheetData>
    <row r="2" spans="1:33" x14ac:dyDescent="0.35">
      <c r="A2" s="7" t="s">
        <v>171</v>
      </c>
      <c r="B2" s="7" t="s">
        <v>53</v>
      </c>
      <c r="C2" s="7" t="s">
        <v>60</v>
      </c>
      <c r="D2" s="7" t="s">
        <v>64</v>
      </c>
      <c r="E2" s="7" t="s">
        <v>72</v>
      </c>
      <c r="F2" s="7" t="s">
        <v>54</v>
      </c>
      <c r="G2" s="7" t="s">
        <v>61</v>
      </c>
      <c r="H2" s="7" t="s">
        <v>65</v>
      </c>
      <c r="I2" s="7" t="s">
        <v>73</v>
      </c>
      <c r="J2" s="7" t="s">
        <v>75</v>
      </c>
      <c r="K2" s="7" t="s">
        <v>76</v>
      </c>
      <c r="L2" s="7" t="s">
        <v>57</v>
      </c>
      <c r="M2" s="7" t="s">
        <v>58</v>
      </c>
      <c r="N2" s="7" t="s">
        <v>68</v>
      </c>
      <c r="O2" s="7" t="s">
        <v>69</v>
      </c>
      <c r="P2" s="7" t="s">
        <v>172</v>
      </c>
      <c r="Q2" s="7" t="s">
        <v>173</v>
      </c>
      <c r="R2" s="7" t="s">
        <v>174</v>
      </c>
      <c r="S2" s="7" t="s">
        <v>175</v>
      </c>
      <c r="T2" s="7" t="s">
        <v>176</v>
      </c>
      <c r="U2" s="7" t="s">
        <v>177</v>
      </c>
      <c r="V2" s="7" t="s">
        <v>178</v>
      </c>
      <c r="W2" s="7" t="s">
        <v>74</v>
      </c>
      <c r="X2" s="7" t="s">
        <v>59</v>
      </c>
      <c r="Y2" s="7" t="s">
        <v>179</v>
      </c>
      <c r="Z2" s="7" t="s">
        <v>180</v>
      </c>
      <c r="AA2" s="7" t="s">
        <v>70</v>
      </c>
      <c r="AB2" s="7" t="s">
        <v>77</v>
      </c>
      <c r="AC2" s="7" t="s">
        <v>52</v>
      </c>
      <c r="AD2" s="7" t="s">
        <v>181</v>
      </c>
      <c r="AE2" s="7" t="s">
        <v>182</v>
      </c>
      <c r="AF2" s="7" t="s">
        <v>183</v>
      </c>
      <c r="AG2" s="7" t="s">
        <v>184</v>
      </c>
    </row>
    <row r="3" spans="1:33" x14ac:dyDescent="0.35">
      <c r="A3" t="s">
        <v>185</v>
      </c>
      <c r="B3">
        <v>38.396000000000001</v>
      </c>
      <c r="C3">
        <v>642.38300000000004</v>
      </c>
      <c r="D3">
        <v>153.31899999999999</v>
      </c>
      <c r="E3">
        <v>0</v>
      </c>
      <c r="F3">
        <v>392.637</v>
      </c>
      <c r="G3">
        <v>8254.152</v>
      </c>
      <c r="H3">
        <v>320.02999999999997</v>
      </c>
      <c r="I3">
        <v>168.05</v>
      </c>
      <c r="J3">
        <v>48.786999999999999</v>
      </c>
      <c r="K3">
        <v>410.89699999999999</v>
      </c>
      <c r="L3">
        <v>1361.412</v>
      </c>
      <c r="M3">
        <v>14034.422</v>
      </c>
      <c r="N3">
        <v>42.646999999999998</v>
      </c>
      <c r="O3">
        <v>816.43100000000004</v>
      </c>
      <c r="P3">
        <v>0</v>
      </c>
      <c r="Q3">
        <v>0</v>
      </c>
      <c r="R3">
        <v>0</v>
      </c>
      <c r="S3">
        <v>0</v>
      </c>
      <c r="T3">
        <v>311.97399999999999</v>
      </c>
      <c r="U3">
        <v>4803.598</v>
      </c>
      <c r="V3">
        <v>379.76900000000001</v>
      </c>
      <c r="W3">
        <v>1329.116</v>
      </c>
      <c r="X3">
        <v>4383.2809999999999</v>
      </c>
      <c r="Y3">
        <v>0</v>
      </c>
      <c r="Z3">
        <v>0</v>
      </c>
      <c r="AA3">
        <v>2093.8820000000001</v>
      </c>
      <c r="AB3">
        <v>1129.915</v>
      </c>
      <c r="AC3">
        <v>543.10199999999998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0F972-8FB0-41ED-BD1D-C9238EE4BFDE}">
  <dimension ref="A1:I287"/>
  <sheetViews>
    <sheetView workbookViewId="0">
      <selection activeCell="A2" sqref="A2:C287"/>
    </sheetView>
  </sheetViews>
  <sheetFormatPr defaultRowHeight="14.5" x14ac:dyDescent="0.35"/>
  <cols>
    <col min="1" max="1" width="13.1796875" bestFit="1" customWidth="1"/>
  </cols>
  <sheetData>
    <row r="1" spans="1:9" x14ac:dyDescent="0.35">
      <c r="A1" s="7" t="s">
        <v>186</v>
      </c>
      <c r="B1" s="7" t="s">
        <v>187</v>
      </c>
      <c r="C1" s="7" t="s">
        <v>188</v>
      </c>
      <c r="G1">
        <f>395</f>
        <v>395</v>
      </c>
      <c r="I1">
        <f>0/60</f>
        <v>0</v>
      </c>
    </row>
    <row r="2" spans="1:9" x14ac:dyDescent="0.35">
      <c r="A2" s="6">
        <v>45819</v>
      </c>
      <c r="B2">
        <v>101</v>
      </c>
      <c r="C2">
        <v>596.5</v>
      </c>
      <c r="G2">
        <f>INT(G1/60)</f>
        <v>6</v>
      </c>
      <c r="H2">
        <f>G1/60</f>
        <v>6.583333333333333</v>
      </c>
    </row>
    <row r="3" spans="1:9" x14ac:dyDescent="0.35">
      <c r="A3" s="6">
        <v>45819</v>
      </c>
      <c r="B3">
        <v>102</v>
      </c>
      <c r="C3">
        <v>516.64</v>
      </c>
    </row>
    <row r="4" spans="1:9" x14ac:dyDescent="0.35">
      <c r="A4" s="6">
        <v>45819</v>
      </c>
      <c r="B4">
        <v>103</v>
      </c>
      <c r="C4">
        <v>469.48</v>
      </c>
    </row>
    <row r="5" spans="1:9" x14ac:dyDescent="0.35">
      <c r="A5" s="6">
        <v>45819</v>
      </c>
      <c r="B5">
        <v>104</v>
      </c>
      <c r="C5">
        <v>663.25</v>
      </c>
    </row>
    <row r="6" spans="1:9" x14ac:dyDescent="0.35">
      <c r="A6" s="6">
        <v>45819</v>
      </c>
      <c r="B6">
        <v>105</v>
      </c>
      <c r="C6">
        <v>539.66999999999996</v>
      </c>
    </row>
    <row r="7" spans="1:9" x14ac:dyDescent="0.35">
      <c r="A7" s="6">
        <v>45819</v>
      </c>
      <c r="B7">
        <v>106</v>
      </c>
      <c r="C7">
        <v>572.03</v>
      </c>
    </row>
    <row r="8" spans="1:9" x14ac:dyDescent="0.35">
      <c r="A8" s="6">
        <v>45819</v>
      </c>
      <c r="B8">
        <v>107</v>
      </c>
      <c r="C8">
        <v>512.4</v>
      </c>
    </row>
    <row r="9" spans="1:9" x14ac:dyDescent="0.35">
      <c r="A9" s="6">
        <v>45819</v>
      </c>
      <c r="B9">
        <v>108</v>
      </c>
      <c r="C9">
        <v>599.86</v>
      </c>
    </row>
    <row r="10" spans="1:9" x14ac:dyDescent="0.35">
      <c r="A10" s="6">
        <v>45819</v>
      </c>
      <c r="B10">
        <v>109</v>
      </c>
      <c r="C10">
        <v>344.54</v>
      </c>
    </row>
    <row r="11" spans="1:9" x14ac:dyDescent="0.35">
      <c r="A11" s="6">
        <v>45819</v>
      </c>
      <c r="B11">
        <v>110</v>
      </c>
      <c r="C11">
        <v>656.59</v>
      </c>
    </row>
    <row r="12" spans="1:9" x14ac:dyDescent="0.35">
      <c r="A12" s="6">
        <v>45819</v>
      </c>
      <c r="B12">
        <v>111</v>
      </c>
      <c r="C12">
        <v>401.97</v>
      </c>
    </row>
    <row r="13" spans="1:9" x14ac:dyDescent="0.35">
      <c r="A13" s="6">
        <v>45819</v>
      </c>
      <c r="B13">
        <v>112</v>
      </c>
      <c r="C13">
        <v>402.81</v>
      </c>
    </row>
    <row r="14" spans="1:9" x14ac:dyDescent="0.35">
      <c r="A14" s="6">
        <v>45819</v>
      </c>
      <c r="B14">
        <v>113</v>
      </c>
      <c r="C14">
        <v>29.38</v>
      </c>
    </row>
    <row r="15" spans="1:9" x14ac:dyDescent="0.35">
      <c r="A15" s="6">
        <v>45819</v>
      </c>
      <c r="B15">
        <v>114</v>
      </c>
      <c r="C15">
        <v>33.869999999999997</v>
      </c>
    </row>
    <row r="16" spans="1:9" x14ac:dyDescent="0.35">
      <c r="A16" s="6">
        <v>45819</v>
      </c>
      <c r="B16">
        <v>115</v>
      </c>
      <c r="C16">
        <v>23.95</v>
      </c>
    </row>
    <row r="17" spans="1:3" x14ac:dyDescent="0.35">
      <c r="A17" s="6">
        <v>45819</v>
      </c>
      <c r="B17">
        <v>116</v>
      </c>
      <c r="C17">
        <v>29.83</v>
      </c>
    </row>
    <row r="18" spans="1:3" x14ac:dyDescent="0.35">
      <c r="A18" s="6">
        <v>45819</v>
      </c>
      <c r="B18">
        <v>117</v>
      </c>
      <c r="C18">
        <v>25.14</v>
      </c>
    </row>
    <row r="19" spans="1:3" x14ac:dyDescent="0.35">
      <c r="A19" s="6">
        <v>45819</v>
      </c>
      <c r="B19">
        <v>118</v>
      </c>
      <c r="C19">
        <v>26.86</v>
      </c>
    </row>
    <row r="20" spans="1:3" x14ac:dyDescent="0.35">
      <c r="A20" s="6">
        <v>45819</v>
      </c>
      <c r="B20">
        <v>119</v>
      </c>
      <c r="C20">
        <v>26.58</v>
      </c>
    </row>
    <row r="21" spans="1:3" x14ac:dyDescent="0.35">
      <c r="A21" s="6">
        <v>45819</v>
      </c>
      <c r="B21">
        <v>120</v>
      </c>
      <c r="C21">
        <v>31.33</v>
      </c>
    </row>
    <row r="22" spans="1:3" x14ac:dyDescent="0.35">
      <c r="A22" s="6">
        <v>45819</v>
      </c>
      <c r="B22">
        <v>121</v>
      </c>
      <c r="C22">
        <v>26.81</v>
      </c>
    </row>
    <row r="23" spans="1:3" x14ac:dyDescent="0.35">
      <c r="A23" s="6">
        <v>45819</v>
      </c>
      <c r="B23">
        <v>122</v>
      </c>
      <c r="C23">
        <v>31.21</v>
      </c>
    </row>
    <row r="24" spans="1:3" x14ac:dyDescent="0.35">
      <c r="A24" s="6">
        <v>45819</v>
      </c>
      <c r="B24">
        <v>123</v>
      </c>
      <c r="C24">
        <v>28.04</v>
      </c>
    </row>
    <row r="25" spans="1:3" x14ac:dyDescent="0.35">
      <c r="A25" s="6">
        <v>45819</v>
      </c>
      <c r="B25">
        <v>124</v>
      </c>
      <c r="C25">
        <v>27.71</v>
      </c>
    </row>
    <row r="26" spans="1:3" x14ac:dyDescent="0.35">
      <c r="A26" s="6">
        <v>45819</v>
      </c>
      <c r="B26">
        <v>125</v>
      </c>
      <c r="C26">
        <v>0</v>
      </c>
    </row>
    <row r="27" spans="1:3" x14ac:dyDescent="0.35">
      <c r="A27" s="6">
        <v>45819</v>
      </c>
      <c r="B27">
        <v>126</v>
      </c>
      <c r="C27">
        <v>0</v>
      </c>
    </row>
    <row r="28" spans="1:3" x14ac:dyDescent="0.35">
      <c r="A28" s="6">
        <v>45819</v>
      </c>
      <c r="B28">
        <v>127</v>
      </c>
      <c r="C28">
        <v>108.4</v>
      </c>
    </row>
    <row r="29" spans="1:3" x14ac:dyDescent="0.35">
      <c r="A29" s="6">
        <v>45819</v>
      </c>
      <c r="B29">
        <v>128</v>
      </c>
      <c r="C29">
        <v>104.15</v>
      </c>
    </row>
    <row r="30" spans="1:3" x14ac:dyDescent="0.35">
      <c r="A30" s="6">
        <v>45819</v>
      </c>
      <c r="B30">
        <v>129</v>
      </c>
      <c r="C30">
        <v>104.92</v>
      </c>
    </row>
    <row r="31" spans="1:3" x14ac:dyDescent="0.35">
      <c r="A31" s="6">
        <v>45819</v>
      </c>
      <c r="B31">
        <v>130</v>
      </c>
      <c r="C31">
        <v>96.39</v>
      </c>
    </row>
    <row r="32" spans="1:3" x14ac:dyDescent="0.35">
      <c r="A32" s="6">
        <v>45819</v>
      </c>
      <c r="B32">
        <v>131</v>
      </c>
      <c r="C32">
        <v>0</v>
      </c>
    </row>
    <row r="33" spans="1:3" x14ac:dyDescent="0.35">
      <c r="A33" s="6">
        <v>45819</v>
      </c>
      <c r="B33">
        <v>132</v>
      </c>
      <c r="C33">
        <v>0</v>
      </c>
    </row>
    <row r="34" spans="1:3" x14ac:dyDescent="0.35">
      <c r="A34" s="6">
        <v>45819</v>
      </c>
      <c r="B34">
        <v>133</v>
      </c>
      <c r="C34">
        <v>0</v>
      </c>
    </row>
    <row r="35" spans="1:3" x14ac:dyDescent="0.35">
      <c r="A35" s="6">
        <v>45819</v>
      </c>
      <c r="B35">
        <v>134</v>
      </c>
      <c r="C35">
        <v>0</v>
      </c>
    </row>
    <row r="36" spans="1:3" x14ac:dyDescent="0.35">
      <c r="A36" s="6">
        <v>45819</v>
      </c>
      <c r="B36">
        <v>135</v>
      </c>
      <c r="C36">
        <v>0</v>
      </c>
    </row>
    <row r="37" spans="1:3" x14ac:dyDescent="0.35">
      <c r="A37" s="6">
        <v>45819</v>
      </c>
      <c r="B37">
        <v>136</v>
      </c>
      <c r="C37">
        <v>0</v>
      </c>
    </row>
    <row r="38" spans="1:3" x14ac:dyDescent="0.35">
      <c r="A38" s="6">
        <v>45819</v>
      </c>
      <c r="B38">
        <v>137</v>
      </c>
      <c r="C38">
        <v>76.39</v>
      </c>
    </row>
    <row r="39" spans="1:3" x14ac:dyDescent="0.35">
      <c r="A39" s="6">
        <v>45819</v>
      </c>
      <c r="B39">
        <v>138</v>
      </c>
      <c r="C39">
        <v>57.57</v>
      </c>
    </row>
    <row r="40" spans="1:3" x14ac:dyDescent="0.35">
      <c r="A40" s="6">
        <v>45819</v>
      </c>
      <c r="B40">
        <v>139</v>
      </c>
      <c r="C40">
        <v>81.67</v>
      </c>
    </row>
    <row r="41" spans="1:3" x14ac:dyDescent="0.35">
      <c r="A41" s="6">
        <v>45819</v>
      </c>
      <c r="B41">
        <v>140</v>
      </c>
      <c r="C41">
        <v>92.64</v>
      </c>
    </row>
    <row r="42" spans="1:3" x14ac:dyDescent="0.35">
      <c r="A42" s="6">
        <v>45819</v>
      </c>
      <c r="B42">
        <v>141</v>
      </c>
      <c r="C42">
        <v>89.44</v>
      </c>
    </row>
    <row r="43" spans="1:3" x14ac:dyDescent="0.35">
      <c r="A43" s="6">
        <v>45819</v>
      </c>
      <c r="B43">
        <v>142</v>
      </c>
      <c r="C43">
        <v>88.75</v>
      </c>
    </row>
    <row r="44" spans="1:3" x14ac:dyDescent="0.35">
      <c r="A44" s="6">
        <v>45819</v>
      </c>
      <c r="B44">
        <v>143</v>
      </c>
      <c r="C44">
        <v>80.319999999999993</v>
      </c>
    </row>
    <row r="45" spans="1:3" x14ac:dyDescent="0.35">
      <c r="A45" s="6">
        <v>45819</v>
      </c>
      <c r="B45">
        <v>144</v>
      </c>
      <c r="C45">
        <v>79.77</v>
      </c>
    </row>
    <row r="46" spans="1:3" x14ac:dyDescent="0.35">
      <c r="A46" s="6">
        <v>45819</v>
      </c>
      <c r="B46">
        <v>145</v>
      </c>
      <c r="C46">
        <v>53.54</v>
      </c>
    </row>
    <row r="47" spans="1:3" x14ac:dyDescent="0.35">
      <c r="A47" s="6">
        <v>45819</v>
      </c>
      <c r="B47">
        <v>146</v>
      </c>
      <c r="C47">
        <v>83.68</v>
      </c>
    </row>
    <row r="48" spans="1:3" x14ac:dyDescent="0.35">
      <c r="A48" s="6">
        <v>45819</v>
      </c>
      <c r="B48">
        <v>147</v>
      </c>
      <c r="C48">
        <v>59.72</v>
      </c>
    </row>
    <row r="49" spans="1:3" x14ac:dyDescent="0.35">
      <c r="A49" s="6">
        <v>45819</v>
      </c>
      <c r="B49">
        <v>148</v>
      </c>
      <c r="C49">
        <v>62.85</v>
      </c>
    </row>
    <row r="50" spans="1:3" x14ac:dyDescent="0.35">
      <c r="A50" s="6">
        <v>45819</v>
      </c>
      <c r="B50">
        <v>149</v>
      </c>
      <c r="C50">
        <v>99.3</v>
      </c>
    </row>
    <row r="51" spans="1:3" x14ac:dyDescent="0.35">
      <c r="A51" s="6">
        <v>45819</v>
      </c>
      <c r="B51">
        <v>150</v>
      </c>
      <c r="C51">
        <v>98.3</v>
      </c>
    </row>
    <row r="52" spans="1:3" x14ac:dyDescent="0.35">
      <c r="A52" s="6">
        <v>45819</v>
      </c>
      <c r="B52">
        <v>151</v>
      </c>
      <c r="C52">
        <v>98.5</v>
      </c>
    </row>
    <row r="53" spans="1:3" x14ac:dyDescent="0.35">
      <c r="A53" s="6">
        <v>45819</v>
      </c>
      <c r="B53">
        <v>152</v>
      </c>
      <c r="C53">
        <v>98.8</v>
      </c>
    </row>
    <row r="54" spans="1:3" x14ac:dyDescent="0.35">
      <c r="A54" s="6">
        <v>45819</v>
      </c>
      <c r="B54">
        <v>153</v>
      </c>
      <c r="C54">
        <v>97.5</v>
      </c>
    </row>
    <row r="55" spans="1:3" x14ac:dyDescent="0.35">
      <c r="A55" s="6">
        <v>45819</v>
      </c>
      <c r="B55">
        <v>154</v>
      </c>
      <c r="C55">
        <v>97.9</v>
      </c>
    </row>
    <row r="56" spans="1:3" x14ac:dyDescent="0.35">
      <c r="A56" s="6">
        <v>45819</v>
      </c>
      <c r="B56">
        <v>155</v>
      </c>
      <c r="C56">
        <v>100</v>
      </c>
    </row>
    <row r="57" spans="1:3" x14ac:dyDescent="0.35">
      <c r="A57" s="6">
        <v>45819</v>
      </c>
      <c r="B57">
        <v>156</v>
      </c>
      <c r="C57">
        <v>100</v>
      </c>
    </row>
    <row r="58" spans="1:3" x14ac:dyDescent="0.35">
      <c r="A58" s="6">
        <v>45819</v>
      </c>
      <c r="B58">
        <v>157</v>
      </c>
      <c r="C58">
        <v>97.4</v>
      </c>
    </row>
    <row r="59" spans="1:3" x14ac:dyDescent="0.35">
      <c r="A59" s="6">
        <v>45819</v>
      </c>
      <c r="B59">
        <v>158</v>
      </c>
      <c r="C59">
        <v>97.7</v>
      </c>
    </row>
    <row r="60" spans="1:3" x14ac:dyDescent="0.35">
      <c r="A60" s="6">
        <v>45819</v>
      </c>
      <c r="B60">
        <v>159</v>
      </c>
      <c r="C60">
        <v>95.5</v>
      </c>
    </row>
    <row r="61" spans="1:3" x14ac:dyDescent="0.35">
      <c r="A61" s="6">
        <v>45819</v>
      </c>
      <c r="B61">
        <v>160</v>
      </c>
      <c r="C61">
        <v>95.2</v>
      </c>
    </row>
    <row r="62" spans="1:3" x14ac:dyDescent="0.35">
      <c r="A62" s="6">
        <v>45819</v>
      </c>
      <c r="B62">
        <v>161</v>
      </c>
      <c r="C62">
        <v>88.67</v>
      </c>
    </row>
    <row r="63" spans="1:3" x14ac:dyDescent="0.35">
      <c r="A63" s="6">
        <v>45819</v>
      </c>
      <c r="B63">
        <v>162</v>
      </c>
      <c r="C63">
        <v>726.24</v>
      </c>
    </row>
    <row r="64" spans="1:3" x14ac:dyDescent="0.35">
      <c r="A64" s="6">
        <v>45819</v>
      </c>
      <c r="B64">
        <v>163</v>
      </c>
      <c r="C64">
        <v>8778.01</v>
      </c>
    </row>
    <row r="65" spans="1:3" x14ac:dyDescent="0.35">
      <c r="A65" s="6">
        <v>45819</v>
      </c>
      <c r="B65">
        <v>164</v>
      </c>
      <c r="C65">
        <v>68108.399999999994</v>
      </c>
    </row>
    <row r="66" spans="1:3" x14ac:dyDescent="0.35">
      <c r="A66" s="6">
        <v>45819</v>
      </c>
      <c r="B66">
        <v>165</v>
      </c>
      <c r="C66">
        <v>16.5</v>
      </c>
    </row>
    <row r="67" spans="1:3" x14ac:dyDescent="0.35">
      <c r="A67" s="6">
        <v>45819</v>
      </c>
      <c r="B67">
        <v>166</v>
      </c>
      <c r="C67">
        <v>37.729999999999997</v>
      </c>
    </row>
    <row r="68" spans="1:3" x14ac:dyDescent="0.35">
      <c r="A68" s="6">
        <v>45819</v>
      </c>
      <c r="B68">
        <v>167</v>
      </c>
      <c r="C68">
        <v>192.36</v>
      </c>
    </row>
    <row r="69" spans="1:3" x14ac:dyDescent="0.35">
      <c r="A69" s="6">
        <v>45819</v>
      </c>
      <c r="B69">
        <v>168</v>
      </c>
      <c r="C69">
        <v>79.19</v>
      </c>
    </row>
    <row r="70" spans="1:3" x14ac:dyDescent="0.35">
      <c r="A70" s="6">
        <v>45819</v>
      </c>
      <c r="B70">
        <v>169</v>
      </c>
      <c r="C70">
        <v>366.05</v>
      </c>
    </row>
    <row r="71" spans="1:3" x14ac:dyDescent="0.35">
      <c r="A71" s="6">
        <v>45819</v>
      </c>
      <c r="B71">
        <v>170</v>
      </c>
      <c r="C71">
        <v>1735.52</v>
      </c>
    </row>
    <row r="72" spans="1:3" x14ac:dyDescent="0.35">
      <c r="A72" s="6">
        <v>45819</v>
      </c>
      <c r="B72">
        <v>171</v>
      </c>
    </row>
    <row r="73" spans="1:3" x14ac:dyDescent="0.35">
      <c r="A73" s="6">
        <v>45819</v>
      </c>
      <c r="B73">
        <v>172</v>
      </c>
    </row>
    <row r="74" spans="1:3" x14ac:dyDescent="0.35">
      <c r="A74" s="6">
        <v>45819</v>
      </c>
      <c r="B74">
        <v>173</v>
      </c>
    </row>
    <row r="75" spans="1:3" x14ac:dyDescent="0.35">
      <c r="A75" s="6">
        <v>45819</v>
      </c>
      <c r="B75">
        <v>201</v>
      </c>
      <c r="C75">
        <v>5990.39</v>
      </c>
    </row>
    <row r="76" spans="1:3" x14ac:dyDescent="0.35">
      <c r="A76" s="6">
        <v>45819</v>
      </c>
      <c r="B76">
        <v>202</v>
      </c>
      <c r="C76">
        <v>6021.27</v>
      </c>
    </row>
    <row r="77" spans="1:3" x14ac:dyDescent="0.35">
      <c r="A77" s="6">
        <v>45819</v>
      </c>
      <c r="B77">
        <v>203</v>
      </c>
      <c r="C77">
        <v>4250.3</v>
      </c>
    </row>
    <row r="78" spans="1:3" x14ac:dyDescent="0.35">
      <c r="A78" s="6">
        <v>45819</v>
      </c>
      <c r="B78">
        <v>204</v>
      </c>
      <c r="C78">
        <v>5670.54</v>
      </c>
    </row>
    <row r="79" spans="1:3" x14ac:dyDescent="0.35">
      <c r="A79" s="6">
        <v>45819</v>
      </c>
      <c r="B79">
        <v>205</v>
      </c>
      <c r="C79">
        <v>4193.57</v>
      </c>
    </row>
    <row r="80" spans="1:3" x14ac:dyDescent="0.35">
      <c r="A80" s="6">
        <v>45819</v>
      </c>
      <c r="B80">
        <v>206</v>
      </c>
      <c r="C80">
        <v>5121.63</v>
      </c>
    </row>
    <row r="81" spans="1:3" x14ac:dyDescent="0.35">
      <c r="A81" s="6">
        <v>45819</v>
      </c>
      <c r="B81">
        <v>207</v>
      </c>
      <c r="C81">
        <v>4121.0600000000004</v>
      </c>
    </row>
    <row r="82" spans="1:3" x14ac:dyDescent="0.35">
      <c r="A82" s="6">
        <v>45819</v>
      </c>
      <c r="B82">
        <v>208</v>
      </c>
      <c r="C82">
        <v>4991.46</v>
      </c>
    </row>
    <row r="83" spans="1:3" x14ac:dyDescent="0.35">
      <c r="A83" s="6">
        <v>45819</v>
      </c>
      <c r="B83">
        <v>209</v>
      </c>
      <c r="C83">
        <v>3800.95</v>
      </c>
    </row>
    <row r="84" spans="1:3" x14ac:dyDescent="0.35">
      <c r="A84" s="6">
        <v>45819</v>
      </c>
      <c r="B84">
        <v>210</v>
      </c>
      <c r="C84">
        <v>6885.98</v>
      </c>
    </row>
    <row r="85" spans="1:3" x14ac:dyDescent="0.35">
      <c r="A85" s="6">
        <v>45819</v>
      </c>
      <c r="B85">
        <v>211</v>
      </c>
      <c r="C85">
        <v>5218.3100000000004</v>
      </c>
    </row>
    <row r="86" spans="1:3" x14ac:dyDescent="0.35">
      <c r="A86" s="6">
        <v>45819</v>
      </c>
      <c r="B86">
        <v>212</v>
      </c>
      <c r="C86">
        <v>4216.3100000000004</v>
      </c>
    </row>
    <row r="87" spans="1:3" x14ac:dyDescent="0.35">
      <c r="A87" s="6">
        <v>45819</v>
      </c>
      <c r="B87">
        <v>213</v>
      </c>
      <c r="C87">
        <v>27.2</v>
      </c>
    </row>
    <row r="88" spans="1:3" x14ac:dyDescent="0.35">
      <c r="A88" s="6">
        <v>45819</v>
      </c>
      <c r="B88">
        <v>214</v>
      </c>
      <c r="C88">
        <v>31.75</v>
      </c>
    </row>
    <row r="89" spans="1:3" x14ac:dyDescent="0.35">
      <c r="A89" s="6">
        <v>45819</v>
      </c>
      <c r="B89">
        <v>215</v>
      </c>
      <c r="C89">
        <v>27.23</v>
      </c>
    </row>
    <row r="90" spans="1:3" x14ac:dyDescent="0.35">
      <c r="A90" s="6">
        <v>45819</v>
      </c>
      <c r="B90">
        <v>216</v>
      </c>
      <c r="C90">
        <v>29.1</v>
      </c>
    </row>
    <row r="91" spans="1:3" x14ac:dyDescent="0.35">
      <c r="A91" s="6">
        <v>45819</v>
      </c>
      <c r="B91">
        <v>217</v>
      </c>
      <c r="C91">
        <v>30.98</v>
      </c>
    </row>
    <row r="92" spans="1:3" x14ac:dyDescent="0.35">
      <c r="A92" s="6">
        <v>45819</v>
      </c>
      <c r="B92">
        <v>218</v>
      </c>
      <c r="C92">
        <v>28.9</v>
      </c>
    </row>
    <row r="93" spans="1:3" x14ac:dyDescent="0.35">
      <c r="A93" s="6">
        <v>45819</v>
      </c>
      <c r="B93">
        <v>219</v>
      </c>
      <c r="C93">
        <v>21.81</v>
      </c>
    </row>
    <row r="94" spans="1:3" x14ac:dyDescent="0.35">
      <c r="A94" s="6">
        <v>45819</v>
      </c>
      <c r="B94">
        <v>220</v>
      </c>
      <c r="C94">
        <v>28.13</v>
      </c>
    </row>
    <row r="95" spans="1:3" x14ac:dyDescent="0.35">
      <c r="A95" s="6">
        <v>45819</v>
      </c>
      <c r="B95">
        <v>221</v>
      </c>
      <c r="C95">
        <v>24.96</v>
      </c>
    </row>
    <row r="96" spans="1:3" x14ac:dyDescent="0.35">
      <c r="A96" s="6">
        <v>45819</v>
      </c>
      <c r="B96">
        <v>222</v>
      </c>
      <c r="C96">
        <v>31.64</v>
      </c>
    </row>
    <row r="97" spans="1:3" x14ac:dyDescent="0.35">
      <c r="A97" s="6">
        <v>45819</v>
      </c>
      <c r="B97">
        <v>223</v>
      </c>
      <c r="C97">
        <v>27.8</v>
      </c>
    </row>
    <row r="98" spans="1:3" x14ac:dyDescent="0.35">
      <c r="A98" s="6">
        <v>45819</v>
      </c>
      <c r="B98">
        <v>224</v>
      </c>
      <c r="C98">
        <v>29.88</v>
      </c>
    </row>
    <row r="99" spans="1:3" x14ac:dyDescent="0.35">
      <c r="A99" s="6">
        <v>45819</v>
      </c>
      <c r="B99">
        <v>225</v>
      </c>
      <c r="C99">
        <v>0</v>
      </c>
    </row>
    <row r="100" spans="1:3" x14ac:dyDescent="0.35">
      <c r="A100" s="6">
        <v>45819</v>
      </c>
      <c r="B100">
        <v>226</v>
      </c>
      <c r="C100">
        <v>0</v>
      </c>
    </row>
    <row r="101" spans="1:3" x14ac:dyDescent="0.35">
      <c r="A101" s="6">
        <v>45819</v>
      </c>
      <c r="B101">
        <v>227</v>
      </c>
      <c r="C101">
        <v>104.99</v>
      </c>
    </row>
    <row r="102" spans="1:3" x14ac:dyDescent="0.35">
      <c r="A102" s="6">
        <v>45819</v>
      </c>
      <c r="B102">
        <v>228</v>
      </c>
      <c r="C102">
        <v>103.79</v>
      </c>
    </row>
    <row r="103" spans="1:3" x14ac:dyDescent="0.35">
      <c r="A103" s="6">
        <v>45819</v>
      </c>
      <c r="B103">
        <v>229</v>
      </c>
      <c r="C103">
        <v>110.03</v>
      </c>
    </row>
    <row r="104" spans="1:3" x14ac:dyDescent="0.35">
      <c r="A104" s="6">
        <v>45819</v>
      </c>
      <c r="B104">
        <v>230</v>
      </c>
      <c r="C104">
        <v>97.55</v>
      </c>
    </row>
    <row r="105" spans="1:3" x14ac:dyDescent="0.35">
      <c r="A105" s="6">
        <v>45819</v>
      </c>
      <c r="B105">
        <v>231</v>
      </c>
      <c r="C105">
        <v>0</v>
      </c>
    </row>
    <row r="106" spans="1:3" x14ac:dyDescent="0.35">
      <c r="A106" s="6">
        <v>45819</v>
      </c>
      <c r="B106">
        <v>232</v>
      </c>
      <c r="C106">
        <v>0</v>
      </c>
    </row>
    <row r="107" spans="1:3" x14ac:dyDescent="0.35">
      <c r="A107" s="6">
        <v>45819</v>
      </c>
      <c r="B107">
        <v>233</v>
      </c>
      <c r="C107">
        <v>0</v>
      </c>
    </row>
    <row r="108" spans="1:3" x14ac:dyDescent="0.35">
      <c r="A108" s="6">
        <v>45819</v>
      </c>
      <c r="B108">
        <v>234</v>
      </c>
      <c r="C108">
        <v>0</v>
      </c>
    </row>
    <row r="109" spans="1:3" x14ac:dyDescent="0.35">
      <c r="A109" s="6">
        <v>45819</v>
      </c>
      <c r="B109">
        <v>235</v>
      </c>
      <c r="C109">
        <v>0</v>
      </c>
    </row>
    <row r="110" spans="1:3" x14ac:dyDescent="0.35">
      <c r="A110" s="6">
        <v>45819</v>
      </c>
      <c r="B110">
        <v>236</v>
      </c>
      <c r="C110">
        <v>0</v>
      </c>
    </row>
    <row r="111" spans="1:3" x14ac:dyDescent="0.35">
      <c r="A111" s="6">
        <v>45819</v>
      </c>
      <c r="B111">
        <v>237</v>
      </c>
      <c r="C111">
        <v>83.43</v>
      </c>
    </row>
    <row r="112" spans="1:3" x14ac:dyDescent="0.35">
      <c r="A112" s="6">
        <v>45819</v>
      </c>
      <c r="B112">
        <v>238</v>
      </c>
      <c r="C112">
        <v>71.849999999999994</v>
      </c>
    </row>
    <row r="113" spans="1:3" x14ac:dyDescent="0.35">
      <c r="A113" s="6">
        <v>45819</v>
      </c>
      <c r="B113">
        <v>239</v>
      </c>
      <c r="C113">
        <v>59.13</v>
      </c>
    </row>
    <row r="114" spans="1:3" x14ac:dyDescent="0.35">
      <c r="A114" s="6">
        <v>45819</v>
      </c>
      <c r="B114">
        <v>240</v>
      </c>
      <c r="C114">
        <v>73.81</v>
      </c>
    </row>
    <row r="115" spans="1:3" x14ac:dyDescent="0.35">
      <c r="A115" s="6">
        <v>45819</v>
      </c>
      <c r="B115">
        <v>241</v>
      </c>
      <c r="C115">
        <v>51.27</v>
      </c>
    </row>
    <row r="116" spans="1:3" x14ac:dyDescent="0.35">
      <c r="A116" s="6">
        <v>45819</v>
      </c>
      <c r="B116">
        <v>242</v>
      </c>
      <c r="C116">
        <v>67.13</v>
      </c>
    </row>
    <row r="117" spans="1:3" x14ac:dyDescent="0.35">
      <c r="A117" s="6">
        <v>45819</v>
      </c>
      <c r="B117">
        <v>243</v>
      </c>
      <c r="C117">
        <v>71.56</v>
      </c>
    </row>
    <row r="118" spans="1:3" x14ac:dyDescent="0.35">
      <c r="A118" s="6">
        <v>45819</v>
      </c>
      <c r="B118">
        <v>244</v>
      </c>
      <c r="C118">
        <v>67.209999999999994</v>
      </c>
    </row>
    <row r="119" spans="1:3" x14ac:dyDescent="0.35">
      <c r="A119" s="6">
        <v>45819</v>
      </c>
      <c r="B119">
        <v>245</v>
      </c>
      <c r="C119">
        <v>57.68</v>
      </c>
    </row>
    <row r="120" spans="1:3" x14ac:dyDescent="0.35">
      <c r="A120" s="6">
        <v>45819</v>
      </c>
      <c r="B120">
        <v>246</v>
      </c>
      <c r="C120">
        <v>82.44</v>
      </c>
    </row>
    <row r="121" spans="1:3" x14ac:dyDescent="0.35">
      <c r="A121" s="6">
        <v>45819</v>
      </c>
      <c r="B121">
        <v>247</v>
      </c>
      <c r="C121">
        <v>71.09</v>
      </c>
    </row>
    <row r="122" spans="1:3" x14ac:dyDescent="0.35">
      <c r="A122" s="6">
        <v>45819</v>
      </c>
      <c r="B122">
        <v>248</v>
      </c>
      <c r="C122">
        <v>53.45</v>
      </c>
    </row>
    <row r="123" spans="1:3" x14ac:dyDescent="0.35">
      <c r="A123" s="6">
        <v>45819</v>
      </c>
      <c r="B123">
        <v>249</v>
      </c>
      <c r="C123">
        <v>99</v>
      </c>
    </row>
    <row r="124" spans="1:3" x14ac:dyDescent="0.35">
      <c r="A124" s="6">
        <v>45819</v>
      </c>
      <c r="B124">
        <v>250</v>
      </c>
      <c r="C124">
        <v>98</v>
      </c>
    </row>
    <row r="125" spans="1:3" x14ac:dyDescent="0.35">
      <c r="A125" s="6">
        <v>45819</v>
      </c>
      <c r="B125">
        <v>251</v>
      </c>
      <c r="C125">
        <v>98.9</v>
      </c>
    </row>
    <row r="126" spans="1:3" x14ac:dyDescent="0.35">
      <c r="A126" s="6">
        <v>45819</v>
      </c>
      <c r="B126">
        <v>252</v>
      </c>
      <c r="C126">
        <v>98.7</v>
      </c>
    </row>
    <row r="127" spans="1:3" x14ac:dyDescent="0.35">
      <c r="A127" s="6">
        <v>45819</v>
      </c>
      <c r="B127">
        <v>253</v>
      </c>
      <c r="C127">
        <v>97.5</v>
      </c>
    </row>
    <row r="128" spans="1:3" x14ac:dyDescent="0.35">
      <c r="A128" s="6">
        <v>45819</v>
      </c>
      <c r="B128">
        <v>254</v>
      </c>
      <c r="C128">
        <v>97.7</v>
      </c>
    </row>
    <row r="129" spans="1:3" x14ac:dyDescent="0.35">
      <c r="A129" s="6">
        <v>45819</v>
      </c>
      <c r="B129">
        <v>255</v>
      </c>
      <c r="C129">
        <v>100</v>
      </c>
    </row>
    <row r="130" spans="1:3" x14ac:dyDescent="0.35">
      <c r="A130" s="6">
        <v>45819</v>
      </c>
      <c r="B130">
        <v>256</v>
      </c>
      <c r="C130">
        <v>100</v>
      </c>
    </row>
    <row r="131" spans="1:3" x14ac:dyDescent="0.35">
      <c r="A131" s="6">
        <v>45819</v>
      </c>
      <c r="B131">
        <v>257</v>
      </c>
      <c r="C131">
        <v>96.7</v>
      </c>
    </row>
    <row r="132" spans="1:3" x14ac:dyDescent="0.35">
      <c r="A132" s="6">
        <v>45819</v>
      </c>
      <c r="B132">
        <v>258</v>
      </c>
      <c r="C132">
        <v>97.5</v>
      </c>
    </row>
    <row r="133" spans="1:3" x14ac:dyDescent="0.35">
      <c r="A133" s="6">
        <v>45819</v>
      </c>
      <c r="B133">
        <v>259</v>
      </c>
      <c r="C133">
        <v>96</v>
      </c>
    </row>
    <row r="134" spans="1:3" x14ac:dyDescent="0.35">
      <c r="A134" s="6">
        <v>45819</v>
      </c>
      <c r="B134">
        <v>260</v>
      </c>
      <c r="C134">
        <v>94.8</v>
      </c>
    </row>
    <row r="135" spans="1:3" x14ac:dyDescent="0.35">
      <c r="A135" s="6">
        <v>45819</v>
      </c>
      <c r="B135">
        <v>261</v>
      </c>
      <c r="C135">
        <v>88.14</v>
      </c>
    </row>
    <row r="136" spans="1:3" x14ac:dyDescent="0.35">
      <c r="A136" s="6">
        <v>45819.288969907408</v>
      </c>
      <c r="B136">
        <v>305</v>
      </c>
      <c r="C136">
        <v>255.35</v>
      </c>
    </row>
    <row r="137" spans="1:3" x14ac:dyDescent="0.35">
      <c r="A137" s="6">
        <v>45819.289398148147</v>
      </c>
      <c r="B137">
        <v>306</v>
      </c>
      <c r="C137">
        <v>6.27</v>
      </c>
    </row>
    <row r="138" spans="1:3" x14ac:dyDescent="0.35">
      <c r="A138" s="6">
        <v>45819.290381944447</v>
      </c>
      <c r="B138">
        <v>307</v>
      </c>
      <c r="C138">
        <v>330.55</v>
      </c>
    </row>
    <row r="139" spans="1:3" x14ac:dyDescent="0.35">
      <c r="A139" s="6">
        <v>45819.290995370371</v>
      </c>
      <c r="B139">
        <v>308</v>
      </c>
      <c r="C139">
        <v>219.29</v>
      </c>
    </row>
    <row r="140" spans="1:3" x14ac:dyDescent="0.35">
      <c r="A140" s="6">
        <v>45819.289039351854</v>
      </c>
      <c r="B140">
        <v>319</v>
      </c>
      <c r="C140">
        <v>93.96</v>
      </c>
    </row>
    <row r="141" spans="1:3" x14ac:dyDescent="0.35">
      <c r="A141" s="6">
        <v>45819.290358796294</v>
      </c>
      <c r="B141">
        <v>320</v>
      </c>
      <c r="C141">
        <v>100</v>
      </c>
    </row>
    <row r="142" spans="1:3" x14ac:dyDescent="0.35">
      <c r="A142" s="6">
        <v>45819.290914351855</v>
      </c>
      <c r="B142">
        <v>321</v>
      </c>
      <c r="C142">
        <v>91.93</v>
      </c>
    </row>
    <row r="143" spans="1:3" x14ac:dyDescent="0.35">
      <c r="A143" s="6">
        <v>45819.291192129633</v>
      </c>
      <c r="B143">
        <v>322</v>
      </c>
      <c r="C143">
        <v>87.28</v>
      </c>
    </row>
    <row r="144" spans="1:3" x14ac:dyDescent="0.35">
      <c r="A144" s="6">
        <v>45819.291192129633</v>
      </c>
      <c r="B144">
        <v>323</v>
      </c>
      <c r="C144">
        <v>90.19</v>
      </c>
    </row>
    <row r="145" spans="1:3" x14ac:dyDescent="0.35">
      <c r="A145" s="6">
        <v>45819.291192129633</v>
      </c>
      <c r="B145">
        <v>324</v>
      </c>
      <c r="C145">
        <v>91.37</v>
      </c>
    </row>
    <row r="146" spans="1:3" x14ac:dyDescent="0.35">
      <c r="A146" s="6">
        <v>45819.289039351854</v>
      </c>
      <c r="B146">
        <v>325</v>
      </c>
      <c r="C146">
        <v>94.24</v>
      </c>
    </row>
    <row r="147" spans="1:3" x14ac:dyDescent="0.35">
      <c r="A147" s="6">
        <v>45819.290358796294</v>
      </c>
      <c r="B147">
        <v>326</v>
      </c>
      <c r="C147">
        <v>100</v>
      </c>
    </row>
    <row r="148" spans="1:3" x14ac:dyDescent="0.35">
      <c r="A148" s="6">
        <v>45819.290914351855</v>
      </c>
      <c r="B148">
        <v>327</v>
      </c>
      <c r="C148">
        <v>92.41</v>
      </c>
    </row>
    <row r="149" spans="1:3" x14ac:dyDescent="0.35">
      <c r="A149" s="6">
        <v>45819.291192129633</v>
      </c>
      <c r="B149">
        <v>328</v>
      </c>
      <c r="C149">
        <v>88.36</v>
      </c>
    </row>
    <row r="150" spans="1:3" x14ac:dyDescent="0.35">
      <c r="A150" s="6">
        <v>45819.291192129633</v>
      </c>
      <c r="B150">
        <v>329</v>
      </c>
      <c r="C150">
        <v>90.9</v>
      </c>
    </row>
    <row r="151" spans="1:3" x14ac:dyDescent="0.35">
      <c r="A151" s="6">
        <v>45819.291192129633</v>
      </c>
      <c r="B151">
        <v>330</v>
      </c>
      <c r="C151">
        <v>91.95</v>
      </c>
    </row>
    <row r="152" spans="1:3" x14ac:dyDescent="0.35">
      <c r="A152" s="6">
        <v>45819.288969907408</v>
      </c>
      <c r="B152">
        <v>405</v>
      </c>
      <c r="C152">
        <v>3323.24</v>
      </c>
    </row>
    <row r="153" spans="1:3" x14ac:dyDescent="0.35">
      <c r="A153" s="6">
        <v>45819.289398148147</v>
      </c>
      <c r="B153">
        <v>406</v>
      </c>
      <c r="C153">
        <v>282.64</v>
      </c>
    </row>
    <row r="154" spans="1:3" x14ac:dyDescent="0.35">
      <c r="A154" s="6">
        <v>45819.290381944447</v>
      </c>
      <c r="B154">
        <v>407</v>
      </c>
      <c r="C154">
        <v>3365.2</v>
      </c>
    </row>
    <row r="155" spans="1:3" x14ac:dyDescent="0.35">
      <c r="A155" s="6">
        <v>45819.290995370371</v>
      </c>
      <c r="B155">
        <v>408</v>
      </c>
      <c r="C155">
        <v>2144.6799999999998</v>
      </c>
    </row>
    <row r="156" spans="1:3" x14ac:dyDescent="0.35">
      <c r="A156" s="6">
        <v>45819.289039351854</v>
      </c>
      <c r="B156">
        <v>419</v>
      </c>
      <c r="C156">
        <v>94.09</v>
      </c>
    </row>
    <row r="157" spans="1:3" x14ac:dyDescent="0.35">
      <c r="A157" s="6">
        <v>45819.290358796294</v>
      </c>
      <c r="B157">
        <v>420</v>
      </c>
      <c r="C157">
        <v>94.91</v>
      </c>
    </row>
    <row r="158" spans="1:3" x14ac:dyDescent="0.35">
      <c r="A158" s="6">
        <v>45819.290914351855</v>
      </c>
      <c r="B158">
        <v>421</v>
      </c>
      <c r="C158">
        <v>89.15</v>
      </c>
    </row>
    <row r="159" spans="1:3" x14ac:dyDescent="0.35">
      <c r="A159" s="6">
        <v>45819.291192129633</v>
      </c>
      <c r="B159">
        <v>422</v>
      </c>
      <c r="C159">
        <v>91.18</v>
      </c>
    </row>
    <row r="160" spans="1:3" x14ac:dyDescent="0.35">
      <c r="A160" s="6">
        <v>45819.291192129633</v>
      </c>
      <c r="B160">
        <v>423</v>
      </c>
      <c r="C160">
        <v>90.18</v>
      </c>
    </row>
    <row r="161" spans="1:3" x14ac:dyDescent="0.35">
      <c r="A161" s="6">
        <v>45819.291192129633</v>
      </c>
      <c r="B161">
        <v>424</v>
      </c>
      <c r="C161">
        <v>91.61</v>
      </c>
    </row>
    <row r="162" spans="1:3" x14ac:dyDescent="0.35">
      <c r="A162" s="6">
        <v>45819.289039351854</v>
      </c>
      <c r="B162">
        <v>425</v>
      </c>
      <c r="C162">
        <v>94.54</v>
      </c>
    </row>
    <row r="163" spans="1:3" x14ac:dyDescent="0.35">
      <c r="A163" s="6">
        <v>45819.290358796294</v>
      </c>
      <c r="B163">
        <v>426</v>
      </c>
      <c r="C163">
        <v>100</v>
      </c>
    </row>
    <row r="164" spans="1:3" x14ac:dyDescent="0.35">
      <c r="A164" s="6">
        <v>45819.290914351855</v>
      </c>
      <c r="B164">
        <v>427</v>
      </c>
      <c r="C164">
        <v>89.54</v>
      </c>
    </row>
    <row r="165" spans="1:3" x14ac:dyDescent="0.35">
      <c r="A165" s="6">
        <v>45819.291192129633</v>
      </c>
      <c r="B165">
        <v>428</v>
      </c>
      <c r="C165">
        <v>91.64</v>
      </c>
    </row>
    <row r="166" spans="1:3" x14ac:dyDescent="0.35">
      <c r="A166" s="6">
        <v>45819.291192129633</v>
      </c>
      <c r="B166">
        <v>429</v>
      </c>
      <c r="C166">
        <v>90.83</v>
      </c>
    </row>
    <row r="167" spans="1:3" x14ac:dyDescent="0.35">
      <c r="A167" s="6">
        <v>45819.291192129633</v>
      </c>
      <c r="B167">
        <v>430</v>
      </c>
      <c r="C167">
        <v>92.18</v>
      </c>
    </row>
    <row r="168" spans="1:3" x14ac:dyDescent="0.35">
      <c r="A168" s="6">
        <v>45819</v>
      </c>
      <c r="B168">
        <v>601</v>
      </c>
      <c r="C168">
        <v>38983.660000000003</v>
      </c>
    </row>
    <row r="169" spans="1:3" x14ac:dyDescent="0.35">
      <c r="A169" s="6">
        <v>45819</v>
      </c>
      <c r="B169">
        <v>602</v>
      </c>
      <c r="C169">
        <v>46030.69</v>
      </c>
    </row>
    <row r="170" spans="1:3" x14ac:dyDescent="0.35">
      <c r="A170" s="6">
        <v>45819</v>
      </c>
      <c r="B170">
        <v>603</v>
      </c>
      <c r="C170">
        <v>37121.99</v>
      </c>
    </row>
    <row r="171" spans="1:3" x14ac:dyDescent="0.35">
      <c r="A171" s="6">
        <v>45819</v>
      </c>
      <c r="B171">
        <v>604</v>
      </c>
      <c r="C171">
        <v>41483.01</v>
      </c>
    </row>
    <row r="172" spans="1:3" x14ac:dyDescent="0.35">
      <c r="A172" s="6">
        <v>45819</v>
      </c>
      <c r="B172">
        <v>605</v>
      </c>
      <c r="C172">
        <v>33765.68</v>
      </c>
    </row>
    <row r="173" spans="1:3" x14ac:dyDescent="0.35">
      <c r="A173" s="6">
        <v>45819</v>
      </c>
      <c r="B173">
        <v>606</v>
      </c>
      <c r="C173">
        <v>42361.09</v>
      </c>
    </row>
    <row r="174" spans="1:3" x14ac:dyDescent="0.35">
      <c r="A174" s="6">
        <v>45819</v>
      </c>
      <c r="B174">
        <v>607</v>
      </c>
      <c r="C174">
        <v>31169.53</v>
      </c>
    </row>
    <row r="175" spans="1:3" x14ac:dyDescent="0.35">
      <c r="A175" s="6">
        <v>45819</v>
      </c>
      <c r="B175">
        <v>608</v>
      </c>
      <c r="C175">
        <v>44435.66</v>
      </c>
    </row>
    <row r="176" spans="1:3" x14ac:dyDescent="0.35">
      <c r="A176" s="6">
        <v>45819</v>
      </c>
      <c r="B176">
        <v>609</v>
      </c>
      <c r="C176">
        <v>30122.93</v>
      </c>
    </row>
    <row r="177" spans="1:3" x14ac:dyDescent="0.35">
      <c r="A177" s="6">
        <v>45819</v>
      </c>
      <c r="B177">
        <v>610</v>
      </c>
      <c r="C177">
        <v>45883.55</v>
      </c>
    </row>
    <row r="178" spans="1:3" x14ac:dyDescent="0.35">
      <c r="A178" s="6">
        <v>45819</v>
      </c>
      <c r="B178">
        <v>611</v>
      </c>
      <c r="C178">
        <v>38864.730000000003</v>
      </c>
    </row>
    <row r="179" spans="1:3" x14ac:dyDescent="0.35">
      <c r="A179" s="6">
        <v>45819</v>
      </c>
      <c r="B179">
        <v>612</v>
      </c>
      <c r="C179">
        <v>31933.27</v>
      </c>
    </row>
    <row r="180" spans="1:3" x14ac:dyDescent="0.35">
      <c r="A180" s="6">
        <v>45819</v>
      </c>
      <c r="B180">
        <v>613</v>
      </c>
      <c r="C180">
        <v>29.3</v>
      </c>
    </row>
    <row r="181" spans="1:3" x14ac:dyDescent="0.35">
      <c r="A181" s="6">
        <v>45819</v>
      </c>
      <c r="B181">
        <v>614</v>
      </c>
      <c r="C181">
        <v>33.159999999999997</v>
      </c>
    </row>
    <row r="182" spans="1:3" x14ac:dyDescent="0.35">
      <c r="A182" s="6">
        <v>45819</v>
      </c>
      <c r="B182">
        <v>615</v>
      </c>
      <c r="C182">
        <v>28.97</v>
      </c>
    </row>
    <row r="183" spans="1:3" x14ac:dyDescent="0.35">
      <c r="A183" s="6">
        <v>45819</v>
      </c>
      <c r="B183">
        <v>616</v>
      </c>
      <c r="C183">
        <v>30.31</v>
      </c>
    </row>
    <row r="184" spans="1:3" x14ac:dyDescent="0.35">
      <c r="A184" s="6">
        <v>45819</v>
      </c>
      <c r="B184">
        <v>617</v>
      </c>
      <c r="C184">
        <v>30.98</v>
      </c>
    </row>
    <row r="185" spans="1:3" x14ac:dyDescent="0.35">
      <c r="A185" s="6">
        <v>45819</v>
      </c>
      <c r="B185">
        <v>618</v>
      </c>
      <c r="C185">
        <v>30.81</v>
      </c>
    </row>
    <row r="186" spans="1:3" x14ac:dyDescent="0.35">
      <c r="A186" s="6">
        <v>45819</v>
      </c>
      <c r="B186">
        <v>619</v>
      </c>
      <c r="C186">
        <v>25.01</v>
      </c>
    </row>
    <row r="187" spans="1:3" x14ac:dyDescent="0.35">
      <c r="A187" s="6">
        <v>45819</v>
      </c>
      <c r="B187">
        <v>620</v>
      </c>
      <c r="C187">
        <v>31.91</v>
      </c>
    </row>
    <row r="188" spans="1:3" x14ac:dyDescent="0.35">
      <c r="A188" s="6">
        <v>45819</v>
      </c>
      <c r="B188">
        <v>621</v>
      </c>
      <c r="C188">
        <v>27.6</v>
      </c>
    </row>
    <row r="189" spans="1:3" x14ac:dyDescent="0.35">
      <c r="A189" s="6">
        <v>45819</v>
      </c>
      <c r="B189">
        <v>622</v>
      </c>
      <c r="C189">
        <v>35.26</v>
      </c>
    </row>
    <row r="190" spans="1:3" x14ac:dyDescent="0.35">
      <c r="A190" s="6">
        <v>45819</v>
      </c>
      <c r="B190">
        <v>623</v>
      </c>
      <c r="C190">
        <v>30.24</v>
      </c>
    </row>
    <row r="191" spans="1:3" x14ac:dyDescent="0.35">
      <c r="A191" s="6">
        <v>45819</v>
      </c>
      <c r="B191">
        <v>624</v>
      </c>
      <c r="C191">
        <v>29.39</v>
      </c>
    </row>
    <row r="192" spans="1:3" x14ac:dyDescent="0.35">
      <c r="A192" s="6">
        <v>45819</v>
      </c>
      <c r="B192">
        <v>637</v>
      </c>
      <c r="C192">
        <v>76.989999999999995</v>
      </c>
    </row>
    <row r="193" spans="1:3" x14ac:dyDescent="0.35">
      <c r="A193" s="6">
        <v>45819</v>
      </c>
      <c r="B193">
        <v>638</v>
      </c>
      <c r="C193">
        <v>80.33</v>
      </c>
    </row>
    <row r="194" spans="1:3" x14ac:dyDescent="0.35">
      <c r="A194" s="6">
        <v>45819</v>
      </c>
      <c r="B194">
        <v>639</v>
      </c>
      <c r="C194">
        <v>74.150000000000006</v>
      </c>
    </row>
    <row r="195" spans="1:3" x14ac:dyDescent="0.35">
      <c r="A195" s="6">
        <v>45819</v>
      </c>
      <c r="B195">
        <v>640</v>
      </c>
      <c r="C195">
        <v>79.2</v>
      </c>
    </row>
    <row r="196" spans="1:3" x14ac:dyDescent="0.35">
      <c r="A196" s="6">
        <v>45819</v>
      </c>
      <c r="B196">
        <v>641</v>
      </c>
      <c r="C196">
        <v>63.07</v>
      </c>
    </row>
    <row r="197" spans="1:3" x14ac:dyDescent="0.35">
      <c r="A197" s="6">
        <v>45819</v>
      </c>
      <c r="B197">
        <v>642</v>
      </c>
      <c r="C197">
        <v>79.58</v>
      </c>
    </row>
    <row r="198" spans="1:3" x14ac:dyDescent="0.35">
      <c r="A198" s="6">
        <v>45819</v>
      </c>
      <c r="B198">
        <v>643</v>
      </c>
      <c r="C198">
        <v>72.13</v>
      </c>
    </row>
    <row r="199" spans="1:3" x14ac:dyDescent="0.35">
      <c r="A199" s="6">
        <v>45819</v>
      </c>
      <c r="B199">
        <v>644</v>
      </c>
      <c r="C199">
        <v>80.59</v>
      </c>
    </row>
    <row r="200" spans="1:3" x14ac:dyDescent="0.35">
      <c r="A200" s="6">
        <v>45819</v>
      </c>
      <c r="B200">
        <v>645</v>
      </c>
      <c r="C200">
        <v>63.17</v>
      </c>
    </row>
    <row r="201" spans="1:3" x14ac:dyDescent="0.35">
      <c r="A201" s="6">
        <v>45819</v>
      </c>
      <c r="B201">
        <v>646</v>
      </c>
      <c r="C201">
        <v>75.319999999999993</v>
      </c>
    </row>
    <row r="202" spans="1:3" x14ac:dyDescent="0.35">
      <c r="A202" s="6">
        <v>45819</v>
      </c>
      <c r="B202">
        <v>647</v>
      </c>
      <c r="C202">
        <v>74.39</v>
      </c>
    </row>
    <row r="203" spans="1:3" x14ac:dyDescent="0.35">
      <c r="A203" s="6">
        <v>45819</v>
      </c>
      <c r="B203">
        <v>648</v>
      </c>
      <c r="C203">
        <v>62.87</v>
      </c>
    </row>
    <row r="204" spans="1:3" x14ac:dyDescent="0.35">
      <c r="A204" s="6">
        <v>45819</v>
      </c>
      <c r="B204">
        <v>649</v>
      </c>
      <c r="C204">
        <v>98.9</v>
      </c>
    </row>
    <row r="205" spans="1:3" x14ac:dyDescent="0.35">
      <c r="A205" s="6">
        <v>45819</v>
      </c>
      <c r="B205">
        <v>650</v>
      </c>
      <c r="C205">
        <v>98.5</v>
      </c>
    </row>
    <row r="206" spans="1:3" x14ac:dyDescent="0.35">
      <c r="A206" s="6">
        <v>45819</v>
      </c>
      <c r="B206">
        <v>651</v>
      </c>
      <c r="C206">
        <v>98.9</v>
      </c>
    </row>
    <row r="207" spans="1:3" x14ac:dyDescent="0.35">
      <c r="A207" s="6">
        <v>45819</v>
      </c>
      <c r="B207">
        <v>652</v>
      </c>
      <c r="C207">
        <v>98.7</v>
      </c>
    </row>
    <row r="208" spans="1:3" x14ac:dyDescent="0.35">
      <c r="A208" s="6">
        <v>45819</v>
      </c>
      <c r="B208">
        <v>653</v>
      </c>
      <c r="C208">
        <v>97.7</v>
      </c>
    </row>
    <row r="209" spans="1:3" x14ac:dyDescent="0.35">
      <c r="A209" s="6">
        <v>45819</v>
      </c>
      <c r="B209">
        <v>654</v>
      </c>
      <c r="C209">
        <v>98</v>
      </c>
    </row>
    <row r="210" spans="1:3" x14ac:dyDescent="0.35">
      <c r="A210" s="6">
        <v>45819</v>
      </c>
      <c r="B210">
        <v>655</v>
      </c>
      <c r="C210">
        <v>100</v>
      </c>
    </row>
    <row r="211" spans="1:3" x14ac:dyDescent="0.35">
      <c r="A211" s="6">
        <v>45819</v>
      </c>
      <c r="B211">
        <v>656</v>
      </c>
      <c r="C211">
        <v>100</v>
      </c>
    </row>
    <row r="212" spans="1:3" x14ac:dyDescent="0.35">
      <c r="A212" s="6">
        <v>45819</v>
      </c>
      <c r="B212">
        <v>657</v>
      </c>
      <c r="C212">
        <v>97.1</v>
      </c>
    </row>
    <row r="213" spans="1:3" x14ac:dyDescent="0.35">
      <c r="A213" s="6">
        <v>45819</v>
      </c>
      <c r="B213">
        <v>658</v>
      </c>
      <c r="C213">
        <v>97.5</v>
      </c>
    </row>
    <row r="214" spans="1:3" x14ac:dyDescent="0.35">
      <c r="A214" s="6">
        <v>45819</v>
      </c>
      <c r="B214">
        <v>659</v>
      </c>
      <c r="C214">
        <v>96.2</v>
      </c>
    </row>
    <row r="215" spans="1:3" x14ac:dyDescent="0.35">
      <c r="A215" s="6">
        <v>45819</v>
      </c>
      <c r="B215">
        <v>660</v>
      </c>
      <c r="C215">
        <v>94.9</v>
      </c>
    </row>
    <row r="216" spans="1:3" x14ac:dyDescent="0.35">
      <c r="A216" s="6">
        <v>45819</v>
      </c>
      <c r="B216">
        <v>661</v>
      </c>
      <c r="C216">
        <v>88.8</v>
      </c>
    </row>
    <row r="217" spans="1:3" x14ac:dyDescent="0.35">
      <c r="A217" s="6">
        <v>45819</v>
      </c>
      <c r="B217">
        <v>701</v>
      </c>
      <c r="C217">
        <v>74</v>
      </c>
    </row>
    <row r="218" spans="1:3" x14ac:dyDescent="0.35">
      <c r="A218" s="6">
        <v>45819</v>
      </c>
      <c r="B218">
        <v>702</v>
      </c>
      <c r="C218">
        <v>64</v>
      </c>
    </row>
    <row r="219" spans="1:3" x14ac:dyDescent="0.35">
      <c r="A219" s="6">
        <v>45819</v>
      </c>
      <c r="B219">
        <v>703</v>
      </c>
      <c r="C219">
        <v>65</v>
      </c>
    </row>
    <row r="220" spans="1:3" x14ac:dyDescent="0.35">
      <c r="A220" s="6">
        <v>45819</v>
      </c>
      <c r="B220">
        <v>704</v>
      </c>
      <c r="C220">
        <v>120</v>
      </c>
    </row>
    <row r="221" spans="1:3" x14ac:dyDescent="0.35">
      <c r="A221" s="6">
        <v>45819</v>
      </c>
      <c r="B221">
        <v>705</v>
      </c>
      <c r="C221">
        <v>236</v>
      </c>
    </row>
    <row r="222" spans="1:3" x14ac:dyDescent="0.35">
      <c r="A222" s="6">
        <v>45819</v>
      </c>
      <c r="B222">
        <v>706</v>
      </c>
      <c r="C222">
        <v>11</v>
      </c>
    </row>
    <row r="223" spans="1:3" x14ac:dyDescent="0.35">
      <c r="A223" s="6">
        <v>45819</v>
      </c>
      <c r="B223">
        <v>707</v>
      </c>
      <c r="C223">
        <v>54</v>
      </c>
    </row>
    <row r="224" spans="1:3" x14ac:dyDescent="0.35">
      <c r="A224" s="6">
        <v>45819</v>
      </c>
      <c r="B224">
        <v>709</v>
      </c>
      <c r="C224">
        <v>988.02200000000005</v>
      </c>
    </row>
    <row r="225" spans="1:3" x14ac:dyDescent="0.35">
      <c r="A225" s="6">
        <v>45819</v>
      </c>
      <c r="B225">
        <v>710</v>
      </c>
      <c r="C225">
        <v>993.86</v>
      </c>
    </row>
    <row r="226" spans="1:3" x14ac:dyDescent="0.35">
      <c r="A226" s="6">
        <v>45819</v>
      </c>
      <c r="B226">
        <v>711</v>
      </c>
      <c r="C226">
        <v>1036.56</v>
      </c>
    </row>
    <row r="227" spans="1:3" x14ac:dyDescent="0.35">
      <c r="A227" s="6">
        <v>45819</v>
      </c>
      <c r="B227">
        <v>712</v>
      </c>
      <c r="C227">
        <v>1892.8</v>
      </c>
    </row>
    <row r="228" spans="1:3" x14ac:dyDescent="0.35">
      <c r="A228" s="6">
        <v>45819</v>
      </c>
      <c r="B228">
        <v>713</v>
      </c>
      <c r="C228">
        <v>3614.5749999999998</v>
      </c>
    </row>
    <row r="229" spans="1:3" x14ac:dyDescent="0.35">
      <c r="A229" s="6">
        <v>45819</v>
      </c>
      <c r="B229">
        <v>714</v>
      </c>
      <c r="C229">
        <v>114.872</v>
      </c>
    </row>
    <row r="230" spans="1:3" x14ac:dyDescent="0.35">
      <c r="A230" s="6">
        <v>45819</v>
      </c>
      <c r="B230">
        <v>715</v>
      </c>
      <c r="C230">
        <v>608.98699999999997</v>
      </c>
    </row>
    <row r="231" spans="1:3" x14ac:dyDescent="0.35">
      <c r="A231" s="6">
        <v>45819</v>
      </c>
      <c r="B231">
        <v>716</v>
      </c>
      <c r="C231">
        <v>71.542000000000002</v>
      </c>
    </row>
    <row r="232" spans="1:3" x14ac:dyDescent="0.35">
      <c r="A232" s="6">
        <v>45819</v>
      </c>
      <c r="B232">
        <v>717</v>
      </c>
      <c r="C232">
        <v>8640.6890000000003</v>
      </c>
    </row>
    <row r="233" spans="1:3" x14ac:dyDescent="0.35">
      <c r="A233" s="6">
        <v>45819</v>
      </c>
      <c r="B233">
        <v>718</v>
      </c>
      <c r="C233">
        <v>165.00299999999999</v>
      </c>
    </row>
    <row r="234" spans="1:3" x14ac:dyDescent="0.35">
      <c r="A234" s="6">
        <v>45819</v>
      </c>
      <c r="B234">
        <v>801</v>
      </c>
      <c r="C234">
        <v>0</v>
      </c>
    </row>
    <row r="235" spans="1:3" x14ac:dyDescent="0.35">
      <c r="A235" s="6">
        <v>45819</v>
      </c>
      <c r="B235">
        <v>802</v>
      </c>
      <c r="C235">
        <v>0</v>
      </c>
    </row>
    <row r="236" spans="1:3" x14ac:dyDescent="0.35">
      <c r="A236" s="6">
        <v>45819</v>
      </c>
      <c r="B236">
        <v>803</v>
      </c>
      <c r="C236">
        <v>0</v>
      </c>
    </row>
    <row r="237" spans="1:3" x14ac:dyDescent="0.35">
      <c r="A237" s="6">
        <v>45819</v>
      </c>
      <c r="B237">
        <v>804</v>
      </c>
      <c r="C237">
        <v>0</v>
      </c>
    </row>
    <row r="238" spans="1:3" x14ac:dyDescent="0.35">
      <c r="A238" s="6">
        <v>45819</v>
      </c>
      <c r="B238">
        <v>805</v>
      </c>
      <c r="C238">
        <v>0</v>
      </c>
    </row>
    <row r="239" spans="1:3" x14ac:dyDescent="0.35">
      <c r="A239" s="6">
        <v>45819</v>
      </c>
      <c r="B239">
        <v>806</v>
      </c>
      <c r="C239">
        <v>0</v>
      </c>
    </row>
    <row r="240" spans="1:3" x14ac:dyDescent="0.35">
      <c r="A240" s="6">
        <v>45819</v>
      </c>
      <c r="B240">
        <v>811</v>
      </c>
      <c r="C240">
        <v>42.26</v>
      </c>
    </row>
    <row r="241" spans="1:3" x14ac:dyDescent="0.35">
      <c r="A241" s="6">
        <v>45819</v>
      </c>
      <c r="B241">
        <v>812</v>
      </c>
      <c r="C241">
        <v>0</v>
      </c>
    </row>
    <row r="242" spans="1:3" x14ac:dyDescent="0.35">
      <c r="A242" s="6">
        <v>45819</v>
      </c>
      <c r="B242">
        <v>813</v>
      </c>
      <c r="C242">
        <v>0</v>
      </c>
    </row>
    <row r="243" spans="1:3" x14ac:dyDescent="0.35">
      <c r="A243" s="6">
        <v>45819</v>
      </c>
      <c r="B243">
        <v>814</v>
      </c>
      <c r="C243">
        <v>0</v>
      </c>
    </row>
    <row r="244" spans="1:3" x14ac:dyDescent="0.35">
      <c r="A244" s="6">
        <v>45819</v>
      </c>
      <c r="B244">
        <v>815</v>
      </c>
      <c r="C244">
        <v>26.69</v>
      </c>
    </row>
    <row r="245" spans="1:3" x14ac:dyDescent="0.35">
      <c r="A245" s="6">
        <v>45819</v>
      </c>
      <c r="B245">
        <v>816</v>
      </c>
      <c r="C245">
        <v>0</v>
      </c>
    </row>
    <row r="246" spans="1:3" x14ac:dyDescent="0.35">
      <c r="A246" s="6">
        <v>45819</v>
      </c>
      <c r="B246">
        <v>821</v>
      </c>
      <c r="C246">
        <v>0</v>
      </c>
    </row>
    <row r="247" spans="1:3" x14ac:dyDescent="0.35">
      <c r="A247" s="6">
        <v>45819</v>
      </c>
      <c r="B247">
        <v>822</v>
      </c>
      <c r="C247">
        <v>0</v>
      </c>
    </row>
    <row r="248" spans="1:3" x14ac:dyDescent="0.35">
      <c r="A248" s="6">
        <v>45819</v>
      </c>
      <c r="B248">
        <v>823</v>
      </c>
      <c r="C248">
        <v>0</v>
      </c>
    </row>
    <row r="249" spans="1:3" x14ac:dyDescent="0.35">
      <c r="A249" s="6">
        <v>45819</v>
      </c>
      <c r="B249">
        <v>824</v>
      </c>
      <c r="C249">
        <v>0</v>
      </c>
    </row>
    <row r="250" spans="1:3" x14ac:dyDescent="0.35">
      <c r="A250" s="6">
        <v>45819</v>
      </c>
      <c r="B250">
        <v>825</v>
      </c>
      <c r="C250">
        <v>464</v>
      </c>
    </row>
    <row r="251" spans="1:3" x14ac:dyDescent="0.35">
      <c r="A251" s="6">
        <v>45819</v>
      </c>
      <c r="B251">
        <v>826</v>
      </c>
      <c r="C251">
        <v>0</v>
      </c>
    </row>
    <row r="252" spans="1:3" x14ac:dyDescent="0.35">
      <c r="A252" s="6">
        <v>45819</v>
      </c>
      <c r="B252">
        <v>831</v>
      </c>
      <c r="C252">
        <v>90.53</v>
      </c>
    </row>
    <row r="253" spans="1:3" x14ac:dyDescent="0.35">
      <c r="A253" s="6">
        <v>45819</v>
      </c>
      <c r="B253">
        <v>832</v>
      </c>
      <c r="C253">
        <v>0</v>
      </c>
    </row>
    <row r="254" spans="1:3" x14ac:dyDescent="0.35">
      <c r="A254" s="6">
        <v>45819</v>
      </c>
      <c r="B254">
        <v>833</v>
      </c>
      <c r="C254">
        <v>750.47</v>
      </c>
    </row>
    <row r="255" spans="1:3" x14ac:dyDescent="0.35">
      <c r="A255" s="6">
        <v>45819</v>
      </c>
      <c r="B255">
        <v>834</v>
      </c>
      <c r="C255">
        <v>0</v>
      </c>
    </row>
    <row r="256" spans="1:3" x14ac:dyDescent="0.35">
      <c r="A256" s="6">
        <v>45819</v>
      </c>
      <c r="B256">
        <v>835</v>
      </c>
      <c r="C256">
        <v>638.96</v>
      </c>
    </row>
    <row r="257" spans="1:3" x14ac:dyDescent="0.35">
      <c r="A257" s="6">
        <v>45819</v>
      </c>
      <c r="B257">
        <v>836</v>
      </c>
      <c r="C257">
        <v>0</v>
      </c>
    </row>
    <row r="258" spans="1:3" x14ac:dyDescent="0.35">
      <c r="A258" s="6">
        <v>45819</v>
      </c>
      <c r="B258">
        <v>841</v>
      </c>
      <c r="C258">
        <v>82.26</v>
      </c>
    </row>
    <row r="259" spans="1:3" x14ac:dyDescent="0.35">
      <c r="A259" s="6">
        <v>45819</v>
      </c>
      <c r="B259">
        <v>842</v>
      </c>
      <c r="C259">
        <v>0</v>
      </c>
    </row>
    <row r="260" spans="1:3" x14ac:dyDescent="0.35">
      <c r="A260" s="6">
        <v>45819</v>
      </c>
      <c r="B260">
        <v>843</v>
      </c>
      <c r="C260">
        <v>72.900000000000006</v>
      </c>
    </row>
    <row r="261" spans="1:3" x14ac:dyDescent="0.35">
      <c r="A261" s="6">
        <v>45819</v>
      </c>
      <c r="B261">
        <v>844</v>
      </c>
      <c r="C261">
        <v>0</v>
      </c>
    </row>
    <row r="262" spans="1:3" x14ac:dyDescent="0.35">
      <c r="A262" s="6">
        <v>45819</v>
      </c>
      <c r="B262">
        <v>845</v>
      </c>
      <c r="C262">
        <v>142.76</v>
      </c>
    </row>
    <row r="263" spans="1:3" x14ac:dyDescent="0.35">
      <c r="A263" s="6">
        <v>45819</v>
      </c>
      <c r="B263">
        <v>846</v>
      </c>
      <c r="C263">
        <v>0</v>
      </c>
    </row>
    <row r="264" spans="1:3" x14ac:dyDescent="0.35">
      <c r="A264" s="6">
        <v>45819</v>
      </c>
      <c r="B264">
        <v>851</v>
      </c>
      <c r="C264">
        <v>485</v>
      </c>
    </row>
    <row r="265" spans="1:3" x14ac:dyDescent="0.35">
      <c r="A265" s="6">
        <v>45819</v>
      </c>
      <c r="B265">
        <v>852</v>
      </c>
      <c r="C265">
        <v>0</v>
      </c>
    </row>
    <row r="266" spans="1:3" x14ac:dyDescent="0.35">
      <c r="A266" s="6">
        <v>45819</v>
      </c>
      <c r="B266">
        <v>853</v>
      </c>
      <c r="C266">
        <v>1327</v>
      </c>
    </row>
    <row r="267" spans="1:3" x14ac:dyDescent="0.35">
      <c r="A267" s="6">
        <v>45819</v>
      </c>
      <c r="B267">
        <v>854</v>
      </c>
      <c r="C267">
        <v>0</v>
      </c>
    </row>
    <row r="268" spans="1:3" x14ac:dyDescent="0.35">
      <c r="A268" s="6">
        <v>45819</v>
      </c>
      <c r="B268">
        <v>855</v>
      </c>
      <c r="C268">
        <v>2018</v>
      </c>
    </row>
    <row r="269" spans="1:3" x14ac:dyDescent="0.35">
      <c r="A269" s="6">
        <v>45819</v>
      </c>
      <c r="B269">
        <v>856</v>
      </c>
      <c r="C269">
        <v>0</v>
      </c>
    </row>
    <row r="270" spans="1:3" x14ac:dyDescent="0.35">
      <c r="A270" s="6">
        <v>45819</v>
      </c>
      <c r="B270">
        <v>861</v>
      </c>
      <c r="C270">
        <v>1804.99</v>
      </c>
    </row>
    <row r="271" spans="1:3" x14ac:dyDescent="0.35">
      <c r="A271" s="6">
        <v>45819</v>
      </c>
      <c r="B271">
        <v>862</v>
      </c>
      <c r="C271">
        <v>115.09</v>
      </c>
    </row>
    <row r="272" spans="1:3" x14ac:dyDescent="0.35">
      <c r="A272" s="6">
        <v>45819</v>
      </c>
      <c r="B272">
        <v>863</v>
      </c>
      <c r="C272">
        <v>2174.17</v>
      </c>
    </row>
    <row r="273" spans="1:3" x14ac:dyDescent="0.35">
      <c r="A273" s="6">
        <v>45819</v>
      </c>
      <c r="B273">
        <v>864</v>
      </c>
      <c r="C273">
        <v>0</v>
      </c>
    </row>
    <row r="274" spans="1:3" x14ac:dyDescent="0.35">
      <c r="A274" s="6">
        <v>45819</v>
      </c>
      <c r="B274">
        <v>865</v>
      </c>
      <c r="C274">
        <v>4336.78</v>
      </c>
    </row>
    <row r="275" spans="1:3" x14ac:dyDescent="0.35">
      <c r="A275" s="6">
        <v>45819</v>
      </c>
      <c r="B275">
        <v>866</v>
      </c>
      <c r="C275">
        <v>113.18</v>
      </c>
    </row>
    <row r="276" spans="1:3" x14ac:dyDescent="0.35">
      <c r="A276" s="6">
        <v>45819</v>
      </c>
      <c r="B276">
        <v>871</v>
      </c>
      <c r="C276">
        <v>1309.3599999999999</v>
      </c>
    </row>
    <row r="277" spans="1:3" x14ac:dyDescent="0.35">
      <c r="A277" s="6">
        <v>45819</v>
      </c>
      <c r="B277">
        <v>872</v>
      </c>
      <c r="C277">
        <v>101.93</v>
      </c>
    </row>
    <row r="278" spans="1:3" x14ac:dyDescent="0.35">
      <c r="A278" s="6">
        <v>45819</v>
      </c>
      <c r="B278">
        <v>873</v>
      </c>
      <c r="C278">
        <v>277.14</v>
      </c>
    </row>
    <row r="279" spans="1:3" x14ac:dyDescent="0.35">
      <c r="A279" s="6">
        <v>45819</v>
      </c>
      <c r="B279">
        <v>874</v>
      </c>
      <c r="C279">
        <v>0</v>
      </c>
    </row>
    <row r="280" spans="1:3" x14ac:dyDescent="0.35">
      <c r="A280" s="6">
        <v>45819</v>
      </c>
      <c r="B280">
        <v>875</v>
      </c>
      <c r="C280">
        <v>922.17</v>
      </c>
    </row>
    <row r="281" spans="1:3" x14ac:dyDescent="0.35">
      <c r="A281" s="6">
        <v>45819</v>
      </c>
      <c r="B281">
        <v>876</v>
      </c>
      <c r="C281">
        <v>21.75</v>
      </c>
    </row>
    <row r="282" spans="1:3" x14ac:dyDescent="0.35">
      <c r="A282" s="6">
        <v>45819</v>
      </c>
      <c r="B282">
        <v>881</v>
      </c>
      <c r="C282">
        <v>10069</v>
      </c>
    </row>
    <row r="283" spans="1:3" x14ac:dyDescent="0.35">
      <c r="A283" s="6">
        <v>45819</v>
      </c>
      <c r="B283">
        <v>882</v>
      </c>
      <c r="C283">
        <v>958</v>
      </c>
    </row>
    <row r="284" spans="1:3" x14ac:dyDescent="0.35">
      <c r="A284" s="6">
        <v>45819</v>
      </c>
      <c r="B284">
        <v>883</v>
      </c>
      <c r="C284">
        <v>3023</v>
      </c>
    </row>
    <row r="285" spans="1:3" x14ac:dyDescent="0.35">
      <c r="A285" s="6">
        <v>45819</v>
      </c>
      <c r="B285">
        <v>884</v>
      </c>
      <c r="C285">
        <v>0</v>
      </c>
    </row>
    <row r="286" spans="1:3" x14ac:dyDescent="0.35">
      <c r="A286" s="6">
        <v>45819</v>
      </c>
      <c r="B286">
        <v>885</v>
      </c>
      <c r="C286">
        <v>10734</v>
      </c>
    </row>
    <row r="287" spans="1:3" x14ac:dyDescent="0.35">
      <c r="A287" s="6">
        <v>45819</v>
      </c>
      <c r="B287">
        <v>886</v>
      </c>
      <c r="C287">
        <v>344</v>
      </c>
    </row>
  </sheetData>
  <sortState xmlns:xlrd2="http://schemas.microsoft.com/office/spreadsheetml/2017/richdata2" ref="A2:C167">
    <sortCondition ref="B2:B16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BE501-6732-42F1-820B-05BE0164813D}">
  <dimension ref="A1:M16"/>
  <sheetViews>
    <sheetView workbookViewId="0">
      <selection activeCell="N3" sqref="N3"/>
    </sheetView>
  </sheetViews>
  <sheetFormatPr defaultRowHeight="14.5" x14ac:dyDescent="0.35"/>
  <cols>
    <col min="2" max="2" width="15.453125" bestFit="1" customWidth="1"/>
  </cols>
  <sheetData>
    <row r="1" spans="1:13" x14ac:dyDescent="0.35">
      <c r="A1" t="s">
        <v>189</v>
      </c>
      <c r="B1" t="s">
        <v>190</v>
      </c>
      <c r="C1" t="s">
        <v>191</v>
      </c>
      <c r="F1" s="21" t="s">
        <v>192</v>
      </c>
      <c r="G1" s="21">
        <v>1404.787</v>
      </c>
      <c r="H1" s="21">
        <v>104</v>
      </c>
      <c r="J1">
        <v>701</v>
      </c>
      <c r="K1">
        <v>104</v>
      </c>
      <c r="L1">
        <v>709</v>
      </c>
      <c r="M1">
        <v>1404.787</v>
      </c>
    </row>
    <row r="2" spans="1:13" x14ac:dyDescent="0.35">
      <c r="A2" t="s">
        <v>193</v>
      </c>
      <c r="B2" t="s">
        <v>194</v>
      </c>
      <c r="C2" t="s">
        <v>191</v>
      </c>
      <c r="F2" s="21" t="s">
        <v>195</v>
      </c>
      <c r="G2" s="21">
        <v>953.18</v>
      </c>
      <c r="H2" s="21">
        <v>58</v>
      </c>
      <c r="J2">
        <v>702</v>
      </c>
      <c r="K2">
        <v>58</v>
      </c>
      <c r="L2">
        <v>710</v>
      </c>
      <c r="M2">
        <v>953.18</v>
      </c>
    </row>
    <row r="3" spans="1:13" x14ac:dyDescent="0.35">
      <c r="F3" s="21" t="s">
        <v>196</v>
      </c>
      <c r="G3" s="21">
        <v>1153.33</v>
      </c>
      <c r="H3" s="21">
        <v>75</v>
      </c>
      <c r="J3">
        <v>703</v>
      </c>
      <c r="K3">
        <v>75</v>
      </c>
      <c r="L3">
        <v>711</v>
      </c>
      <c r="M3">
        <v>1153.33</v>
      </c>
    </row>
    <row r="4" spans="1:13" x14ac:dyDescent="0.35">
      <c r="F4" s="21" t="s">
        <v>197</v>
      </c>
      <c r="G4" s="21">
        <v>1791.32</v>
      </c>
      <c r="H4" s="21">
        <v>110</v>
      </c>
      <c r="J4">
        <v>704</v>
      </c>
      <c r="K4">
        <v>110</v>
      </c>
      <c r="L4">
        <v>712</v>
      </c>
      <c r="M4">
        <v>1791.32</v>
      </c>
    </row>
    <row r="5" spans="1:13" x14ac:dyDescent="0.35">
      <c r="F5" s="21" t="s">
        <v>198</v>
      </c>
      <c r="G5" s="21">
        <v>3213.06</v>
      </c>
      <c r="H5" s="21">
        <v>212</v>
      </c>
      <c r="J5">
        <v>705</v>
      </c>
      <c r="K5">
        <v>212</v>
      </c>
      <c r="L5">
        <v>713</v>
      </c>
      <c r="M5">
        <v>3213.06</v>
      </c>
    </row>
    <row r="6" spans="1:13" x14ac:dyDescent="0.35">
      <c r="F6" s="21" t="s">
        <v>199</v>
      </c>
      <c r="G6" s="21">
        <v>234.94300000000001</v>
      </c>
      <c r="H6" s="21">
        <v>25</v>
      </c>
      <c r="J6">
        <v>706</v>
      </c>
      <c r="K6">
        <v>25</v>
      </c>
      <c r="L6">
        <v>714</v>
      </c>
      <c r="M6">
        <v>234.94300000000001</v>
      </c>
    </row>
    <row r="7" spans="1:13" x14ac:dyDescent="0.35">
      <c r="F7" s="21" t="s">
        <v>32</v>
      </c>
      <c r="G7" s="21">
        <v>463.97800000000001</v>
      </c>
      <c r="H7" s="21">
        <v>43</v>
      </c>
      <c r="J7">
        <v>707</v>
      </c>
      <c r="K7">
        <v>43</v>
      </c>
      <c r="L7">
        <v>715</v>
      </c>
      <c r="M7">
        <v>463.97800000000001</v>
      </c>
    </row>
    <row r="15" spans="1:13" x14ac:dyDescent="0.35">
      <c r="J15">
        <v>716</v>
      </c>
      <c r="K15">
        <v>134.61500000000001</v>
      </c>
    </row>
    <row r="16" spans="1:13" x14ac:dyDescent="0.35">
      <c r="J16">
        <v>717</v>
      </c>
      <c r="K16">
        <v>8750.6200000000008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Sheet1</vt:lpstr>
      <vt:lpstr>SAP</vt:lpstr>
      <vt:lpstr>TMS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Anamika Kumari</dc:creator>
  <cp:keywords/>
  <dc:description/>
  <cp:lastModifiedBy>Tejpal Singh</cp:lastModifiedBy>
  <cp:revision/>
  <dcterms:created xsi:type="dcterms:W3CDTF">2025-05-26T06:40:35Z</dcterms:created>
  <dcterms:modified xsi:type="dcterms:W3CDTF">2025-06-16T09:40:52Z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50afb6-ab6e-4e8b-96b5-6e00ab52e29e_Enabled">
    <vt:lpwstr>true</vt:lpwstr>
  </property>
  <property fmtid="{D5CDD505-2E9C-101B-9397-08002B2CF9AE}" pid="3" name="MSIP_Label_2f50afb6-ab6e-4e8b-96b5-6e00ab52e29e_SetDate">
    <vt:lpwstr>2025-05-26T08:19:16Z</vt:lpwstr>
  </property>
  <property fmtid="{D5CDD505-2E9C-101B-9397-08002B2CF9AE}" pid="4" name="MSIP_Label_2f50afb6-ab6e-4e8b-96b5-6e00ab52e29e_Method">
    <vt:lpwstr>Standard</vt:lpwstr>
  </property>
  <property fmtid="{D5CDD505-2E9C-101B-9397-08002B2CF9AE}" pid="5" name="MSIP_Label_2f50afb6-ab6e-4e8b-96b5-6e00ab52e29e_Name">
    <vt:lpwstr>2f50afb6-ab6e-4e8b-96b5-6e00ab52e29e</vt:lpwstr>
  </property>
  <property fmtid="{D5CDD505-2E9C-101B-9397-08002B2CF9AE}" pid="6" name="MSIP_Label_2f50afb6-ab6e-4e8b-96b5-6e00ab52e29e_SiteId">
    <vt:lpwstr>f35425af-4755-4e0c-b1bb-b3cb9f1c6afd</vt:lpwstr>
  </property>
  <property fmtid="{D5CDD505-2E9C-101B-9397-08002B2CF9AE}" pid="7" name="MSIP_Label_2f50afb6-ab6e-4e8b-96b5-6e00ab52e29e_ActionId">
    <vt:lpwstr>48ccc524-d007-4305-b847-34d693778779</vt:lpwstr>
  </property>
  <property fmtid="{D5CDD505-2E9C-101B-9397-08002B2CF9AE}" pid="8" name="MSIP_Label_2f50afb6-ab6e-4e8b-96b5-6e00ab52e29e_ContentBits">
    <vt:lpwstr>0</vt:lpwstr>
  </property>
  <property fmtid="{D5CDD505-2E9C-101B-9397-08002B2CF9AE}" pid="9" name="MSIP_Label_2f50afb6-ab6e-4e8b-96b5-6e00ab52e29e_Tag">
    <vt:lpwstr>10, 3, 0, 1</vt:lpwstr>
  </property>
</Properties>
</file>